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Executive_Summary" sheetId="3" state="visible" r:id="rId3"/>
    <sheet xmlns:r="http://schemas.openxmlformats.org/officeDocument/2006/relationships" name="Accuracy" sheetId="4" state="visible" r:id="rId4"/>
    <sheet xmlns:r="http://schemas.openxmlformats.org/officeDocument/2006/relationships" name="Per_Category_Accuracy" sheetId="5" state="visible" r:id="rId5"/>
    <sheet xmlns:r="http://schemas.openxmlformats.org/officeDocument/2006/relationships" name="Efficiency" sheetId="6" state="visible" r:id="rId6"/>
    <sheet xmlns:r="http://schemas.openxmlformats.org/officeDocument/2006/relationships" name="Failure_Modes" sheetId="7" state="visible" r:id="rId7"/>
    <sheet xmlns:r="http://schemas.openxmlformats.org/officeDocument/2006/relationships" name="Metric_Summary" sheetId="8" state="visible" r:id="rId8"/>
    <sheet xmlns:r="http://schemas.openxmlformats.org/officeDocument/2006/relationships" name="McNemar" sheetId="9" state="visible" r:id="rId9"/>
    <sheet xmlns:r="http://schemas.openxmlformats.org/officeDocument/2006/relationships" name="Metric_Comparison" sheetId="10" state="visible" r:id="rId10"/>
    <sheet xmlns:r="http://schemas.openxmlformats.org/officeDocument/2006/relationships" name="Run_Variance" sheetId="11" state="visible" r:id="rId11"/>
    <sheet xmlns:r="http://schemas.openxmlformats.org/officeDocument/2006/relationships" name="Glossary"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000"/>
    <numFmt numFmtId="166" formatCode="0.0000"/>
    <numFmt numFmtId="167" formatCode="[&lt;0.001]0.00E+00;0.000"/>
  </numFmts>
  <fonts count="28">
    <font>
      <name val="Calibri"/>
      <charset val="1"/>
      <family val="2"/>
      <color theme="1"/>
      <sz val="11"/>
    </font>
    <font>
      <name val="Arial"/>
      <family val="0"/>
      <sz val="10"/>
    </font>
    <font>
      <name val="Arial"/>
      <family val="0"/>
      <sz val="10"/>
    </font>
    <font>
      <name val="Arial"/>
      <family val="0"/>
      <sz val="10"/>
    </font>
    <font>
      <name val="Cambria"/>
      <charset val="1"/>
      <family val="0"/>
      <b val="1"/>
      <color rgb="FF1F3864"/>
      <sz val="20"/>
    </font>
    <font>
      <name val="Cambria"/>
      <charset val="1"/>
      <family val="0"/>
      <i val="1"/>
      <color rgb="FF555555"/>
      <sz val="11"/>
    </font>
    <font>
      <name val="Cambria"/>
      <charset val="1"/>
      <family val="0"/>
      <b val="1"/>
      <color rgb="FF1F3864"/>
      <sz val="13"/>
    </font>
    <font>
      <name val="Cambria"/>
      <charset val="1"/>
      <family val="0"/>
      <b val="1"/>
      <color rgb="FFFFFFFF"/>
      <sz val="11"/>
    </font>
    <font>
      <name val="Cambria"/>
      <charset val="1"/>
      <family val="0"/>
      <color rgb="FF0563C1"/>
      <sz val="11"/>
      <u val="single"/>
    </font>
    <font>
      <name val="Calibri"/>
      <charset val="1"/>
      <family val="0"/>
      <b val="1"/>
      <color rgb="FF2F5597"/>
      <sz val="18"/>
    </font>
    <font>
      <name val="Cambria"/>
      <charset val="1"/>
      <family val="0"/>
      <i val="1"/>
      <color rgb="FF595959"/>
      <sz val="11"/>
    </font>
    <font>
      <name val="Cambria"/>
      <charset val="1"/>
      <family val="0"/>
      <b val="1"/>
      <color rgb="FF595959"/>
      <sz val="10"/>
    </font>
    <font>
      <name val="Calibri"/>
      <charset val="1"/>
      <family val="0"/>
      <b val="1"/>
      <color rgb="FF2F5597"/>
      <sz val="11"/>
    </font>
    <font>
      <name val="Calibri"/>
      <charset val="1"/>
      <family val="0"/>
      <b val="1"/>
      <color rgb="FFFFFFFF"/>
      <sz val="11"/>
    </font>
    <font>
      <name val="Calibri"/>
      <charset val="1"/>
      <family val="0"/>
      <b val="1"/>
      <sz val="10"/>
    </font>
    <font>
      <name val="Calibri"/>
      <charset val="1"/>
      <family val="0"/>
      <sz val="10"/>
    </font>
    <font>
      <name val="Cambria"/>
      <charset val="1"/>
      <family val="0"/>
      <b val="1"/>
      <sz val="10"/>
    </font>
    <font>
      <name val="Cambria"/>
      <charset val="1"/>
      <family val="0"/>
      <sz val="10"/>
    </font>
    <font>
      <name val="Cambria"/>
      <charset val="1"/>
      <family val="0"/>
      <sz val="9"/>
    </font>
    <font>
      <name val="Calibri"/>
      <family val="2"/>
      <b val="1"/>
      <color rgb="FF000000"/>
      <sz val="18"/>
    </font>
    <font>
      <name val="Calibri"/>
      <family val="2"/>
      <color rgb="FF000000"/>
      <sz val="10"/>
    </font>
    <font>
      <name val="Calibri"/>
      <family val="2"/>
      <b val="1"/>
      <color rgb="FF000000"/>
      <sz val="10"/>
    </font>
    <font>
      <name val="Cambria"/>
      <charset val="1"/>
      <family val="0"/>
      <b val="1"/>
      <color rgb="FF1F3864"/>
      <sz val="16"/>
    </font>
    <font>
      <name val="Cambria"/>
      <charset val="1"/>
      <family val="0"/>
      <i val="1"/>
      <color rgb="FF333333"/>
      <sz val="11"/>
    </font>
    <font>
      <name val="Cambria"/>
      <charset val="1"/>
      <family val="0"/>
      <color rgb="FF333333"/>
      <sz val="11"/>
    </font>
    <font>
      <name val="Calibri"/>
      <b val="1"/>
      <color rgb="002F5597"/>
      <sz val="11"/>
    </font>
    <font>
      <name val="Calibri"/>
      <i val="1"/>
      <color rgb="00404040"/>
      <sz val="11"/>
    </font>
    <font>
      <name val="Calibri"/>
      <b val="1"/>
      <color rgb="002F5597"/>
      <sz val="14"/>
    </font>
  </fonts>
  <fills count="5">
    <fill>
      <patternFill/>
    </fill>
    <fill>
      <patternFill patternType="gray125"/>
    </fill>
    <fill>
      <patternFill patternType="solid">
        <fgColor rgb="FF2F5496"/>
        <bgColor rgb="FF2F5597"/>
      </patternFill>
    </fill>
    <fill>
      <patternFill patternType="solid">
        <fgColor rgb="FF2F5597"/>
        <bgColor rgb="FF2F5496"/>
      </patternFill>
    </fill>
    <fill>
      <patternFill patternType="solid">
        <fgColor rgb="00D9E2F3"/>
      </patternFill>
    </fill>
  </fills>
  <borders count="2">
    <border>
      <left/>
      <right/>
      <top/>
      <bottom/>
      <diagonal/>
    </border>
    <border>
      <left style="thin">
        <color rgb="FF8EA9DB"/>
      </left>
      <right style="thin">
        <color rgb="FF8EA9DB"/>
      </right>
      <top style="thin">
        <color rgb="FF8EA9DB"/>
      </top>
      <bottom style="thin">
        <color rgb="FF8EA9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2" borderId="0" applyAlignment="1" pivotButton="0" quotePrefix="0" xfId="0">
      <alignment horizontal="left" vertical="center"/>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9" fillId="0" borderId="0" applyAlignment="1" pivotButton="0" quotePrefix="0" xfId="0">
      <alignment horizontal="left" vertical="center"/>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left" vertical="center"/>
    </xf>
    <xf numFmtId="0" fontId="13" fillId="3" borderId="1" applyAlignment="1" pivotButton="0" quotePrefix="0" xfId="0">
      <alignment horizontal="center" vertical="center" wrapText="1"/>
    </xf>
    <xf numFmtId="0" fontId="14" fillId="0" borderId="1" applyAlignment="1" pivotButton="0" quotePrefix="0" xfId="0">
      <alignment horizontal="left" vertical="center"/>
    </xf>
    <xf numFmtId="164" fontId="15" fillId="0" borderId="1" applyAlignment="1" pivotButton="0" quotePrefix="0" xfId="0">
      <alignment horizontal="center" vertical="center"/>
    </xf>
    <xf numFmtId="2" fontId="15" fillId="0" borderId="1" applyAlignment="1" pivotButton="0" quotePrefix="0" xfId="0">
      <alignment horizontal="center" vertical="center"/>
    </xf>
    <xf numFmtId="165" fontId="15" fillId="0" borderId="1" applyAlignment="1" pivotButton="0" quotePrefix="0" xfId="0">
      <alignment horizontal="center" vertical="center"/>
    </xf>
    <xf numFmtId="3" fontId="15" fillId="0" borderId="1" applyAlignment="1" pivotButton="0" quotePrefix="0" xfId="0">
      <alignment horizontal="center" vertical="center"/>
    </xf>
    <xf numFmtId="166" fontId="15" fillId="0" borderId="1" applyAlignment="1" pivotButton="0" quotePrefix="0" xfId="0">
      <alignment horizontal="center" vertical="center"/>
    </xf>
    <xf numFmtId="0" fontId="16" fillId="0" borderId="1" applyAlignment="1" pivotButton="0" quotePrefix="0" xfId="0">
      <alignment horizontal="left" vertical="center"/>
    </xf>
    <xf numFmtId="164" fontId="17" fillId="0" borderId="1" applyAlignment="1" pivotButton="0" quotePrefix="0" xfId="0">
      <alignment horizontal="center" vertical="bottom"/>
    </xf>
    <xf numFmtId="0" fontId="18" fillId="0" borderId="1" applyAlignment="1" pivotButton="0" quotePrefix="0" xfId="0">
      <alignment horizontal="general" vertical="bottom"/>
    </xf>
    <xf numFmtId="164" fontId="0" fillId="0" borderId="1" applyAlignment="1" pivotButton="0" quotePrefix="0" xfId="0">
      <alignment horizontal="general" vertical="bottom"/>
    </xf>
    <xf numFmtId="2" fontId="0" fillId="0" borderId="1" applyAlignment="1" pivotButton="0" quotePrefix="0" xfId="0">
      <alignment horizontal="general" vertical="bottom"/>
    </xf>
    <xf numFmtId="0" fontId="22" fillId="0" borderId="0" applyAlignment="1" pivotButton="0" quotePrefix="0" xfId="0">
      <alignment horizontal="left" vertical="top"/>
    </xf>
    <xf numFmtId="0" fontId="23" fillId="0" borderId="0" applyAlignment="1" pivotButton="0" quotePrefix="0" xfId="0">
      <alignment horizontal="left" vertical="top" wrapText="1"/>
    </xf>
    <xf numFmtId="0" fontId="24" fillId="0" borderId="0" applyAlignment="1" pivotButton="0" quotePrefix="0" xfId="0">
      <alignment horizontal="left" vertical="top" wrapText="1"/>
    </xf>
    <xf numFmtId="0" fontId="7" fillId="2" borderId="0" applyAlignment="1" pivotButton="0" quotePrefix="0" xfId="0">
      <alignment horizontal="left" vertical="center" wrapText="1"/>
    </xf>
    <xf numFmtId="164" fontId="0" fillId="0" borderId="0" applyAlignment="1" pivotButton="0" quotePrefix="0" xfId="0">
      <alignment horizontal="general" vertical="bottom"/>
    </xf>
    <xf numFmtId="0" fontId="0" fillId="0" borderId="0" applyAlignment="1" pivotButton="0" quotePrefix="0" xfId="0">
      <alignment horizontal="general" vertical="bottom"/>
    </xf>
    <xf numFmtId="2" fontId="0" fillId="0" borderId="0" applyAlignment="1" pivotButton="0" quotePrefix="0" xfId="0">
      <alignment horizontal="general" vertical="bottom"/>
    </xf>
    <xf numFmtId="3"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2" borderId="0" applyAlignment="1" pivotButton="0" quotePrefix="0" xfId="0">
      <alignment horizontal="left" vertical="center"/>
    </xf>
    <xf numFmtId="0" fontId="25" fillId="4" borderId="0" applyAlignment="1" pivotButton="0" quotePrefix="0" xfId="0">
      <alignment horizontal="center" vertical="center" wrapText="1"/>
    </xf>
    <xf numFmtId="0" fontId="25" fillId="4" borderId="0" applyAlignment="1" pivotButton="0" quotePrefix="0" xfId="0">
      <alignment horizontal="left" vertical="center" wrapText="1"/>
    </xf>
    <xf numFmtId="0" fontId="26" fillId="4" borderId="0" applyAlignment="1" pivotButton="0" quotePrefix="0" xfId="0">
      <alignment horizontal="left" vertical="center" wrapText="1"/>
    </xf>
    <xf numFmtId="0" fontId="8" fillId="0" borderId="0" applyAlignment="1" pivotButton="0" quotePrefix="0" xfId="0">
      <alignment horizontal="general" vertical="bottom"/>
    </xf>
    <xf numFmtId="0" fontId="9" fillId="0" borderId="0" applyAlignment="1" pivotButton="0" quotePrefix="0" xfId="0">
      <alignment horizontal="left" vertical="center"/>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left" vertical="center"/>
    </xf>
    <xf numFmtId="0" fontId="13" fillId="3" borderId="1" applyAlignment="1" pivotButton="0" quotePrefix="0" xfId="0">
      <alignment horizontal="center" vertical="center" wrapText="1"/>
    </xf>
    <xf numFmtId="0" fontId="14" fillId="0" borderId="1" applyAlignment="1" pivotButton="0" quotePrefix="0" xfId="0">
      <alignment horizontal="left" vertical="center"/>
    </xf>
    <xf numFmtId="164" fontId="15" fillId="0" borderId="1" applyAlignment="1" pivotButton="0" quotePrefix="0" xfId="0">
      <alignment horizontal="center" vertical="center"/>
    </xf>
    <xf numFmtId="2" fontId="15" fillId="0" borderId="1" applyAlignment="1" pivotButton="0" quotePrefix="0" xfId="0">
      <alignment horizontal="center" vertical="center"/>
    </xf>
    <xf numFmtId="165" fontId="15" fillId="0" borderId="1" applyAlignment="1" pivotButton="0" quotePrefix="0" xfId="0">
      <alignment horizontal="center" vertical="center"/>
    </xf>
    <xf numFmtId="3" fontId="15" fillId="0" borderId="1" applyAlignment="1" pivotButton="0" quotePrefix="0" xfId="0">
      <alignment horizontal="center" vertical="center"/>
    </xf>
    <xf numFmtId="166" fontId="15" fillId="0" borderId="1" applyAlignment="1" pivotButton="0" quotePrefix="0" xfId="0">
      <alignment horizontal="center" vertical="center"/>
    </xf>
    <xf numFmtId="0" fontId="16" fillId="0" borderId="1" applyAlignment="1" pivotButton="0" quotePrefix="0" xfId="0">
      <alignment horizontal="left" vertical="center"/>
    </xf>
    <xf numFmtId="164" fontId="17" fillId="0" borderId="1" applyAlignment="1" pivotButton="0" quotePrefix="0" xfId="0">
      <alignment horizontal="center" vertical="bottom"/>
    </xf>
    <xf numFmtId="0" fontId="18" fillId="0" borderId="1" applyAlignment="1" pivotButton="0" quotePrefix="0" xfId="0">
      <alignment horizontal="general" vertical="bottom"/>
    </xf>
    <xf numFmtId="164" fontId="0" fillId="0" borderId="1" applyAlignment="1" pivotButton="0" quotePrefix="0" xfId="0">
      <alignment horizontal="general" vertical="bottom"/>
    </xf>
    <xf numFmtId="2" fontId="0" fillId="0" borderId="1" applyAlignment="1" pivotButton="0" quotePrefix="0" xfId="0">
      <alignment horizontal="general" vertical="bottom"/>
    </xf>
    <xf numFmtId="0" fontId="22" fillId="0" borderId="0" applyAlignment="1" pivotButton="0" quotePrefix="0" xfId="0">
      <alignment horizontal="left" vertical="top"/>
    </xf>
    <xf numFmtId="0" fontId="23" fillId="0" borderId="0" applyAlignment="1" pivotButton="0" quotePrefix="0" xfId="0">
      <alignment horizontal="left" vertical="top" wrapText="1"/>
    </xf>
    <xf numFmtId="0" fontId="24" fillId="0" borderId="0" applyAlignment="1" pivotButton="0" quotePrefix="0" xfId="0">
      <alignment horizontal="left" vertical="top" wrapText="1"/>
    </xf>
    <xf numFmtId="0" fontId="7" fillId="2" borderId="0" applyAlignment="1" pivotButton="0" quotePrefix="0" xfId="0">
      <alignment horizontal="left" vertical="center" wrapText="1"/>
    </xf>
    <xf numFmtId="164" fontId="0" fillId="0" borderId="0" applyAlignment="1" pivotButton="0" quotePrefix="0" xfId="0">
      <alignment horizontal="general" vertical="bottom"/>
    </xf>
    <xf numFmtId="2" fontId="0" fillId="0" borderId="0" applyAlignment="1" pivotButton="0" quotePrefix="0" xfId="0">
      <alignment horizontal="general" vertical="bottom"/>
    </xf>
    <xf numFmtId="3"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0" fontId="27" fillId="4"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5597"/>
      <rgbColor rgb="FFC0C0C0"/>
      <rgbColor rgb="FF878787"/>
      <rgbColor rgb="FF8EA9DB"/>
      <rgbColor rgb="FF993366"/>
      <rgbColor rgb="FFEDEDED"/>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472C4"/>
      <rgbColor rgb="FF33CCCC"/>
      <rgbColor rgb="FF99CC00"/>
      <rgbColor rgb="FFFFCC00"/>
      <rgbColor rgb="FFFF9900"/>
      <rgbColor rgb="FFED7D31"/>
      <rgbColor rgb="FF595959"/>
      <rgbColor rgb="FF70AD47"/>
      <rgbColor rgb="FF1F3864"/>
      <rgbColor rgb="FF339966"/>
      <rgbColor rgb="FF003300"/>
      <rgbColor rgb="FF555555"/>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Accuracy by Model × Dataset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Dashboard!P6</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Dashboard!$P$7:$P$9</f>
              <numCache>
                <formatCode>0.0%</formatCode>
                <ptCount val="3"/>
                <pt idx="0">
                  <v>0.94683257918552</v>
                </pt>
                <pt idx="1">
                  <v>0.863636363636364</v>
                </pt>
                <pt idx="2">
                  <v>0.675465838509317</v>
                </pt>
              </numCache>
            </numRef>
          </val>
        </ser>
        <ser>
          <idx val="1"/>
          <order val="1"/>
          <tx>
            <strRef>
              <f>Dashboard!Q6</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Dashboard!$Q$7:$Q$9</f>
              <numCache>
                <formatCode>0.0%</formatCode>
                <ptCount val="3"/>
                <pt idx="0">
                  <v>0.092</v>
                </pt>
                <pt idx="1">
                  <v>0.122222222222222</v>
                </pt>
                <pt idx="2">
                  <v>0.0248447204968944</v>
                </pt>
              </numCache>
            </numRef>
          </val>
        </ser>
        <ser>
          <idx val="2"/>
          <order val="2"/>
          <tx>
            <strRef>
              <f>Dashboard!R6</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Dashboard!$R$7:$R$9</f>
              <numCache>
                <formatCode>0.0%</formatCode>
                <ptCount val="3"/>
                <pt idx="0">
                  <v>0.975</v>
                </pt>
                <pt idx="1">
                  <v>0.797777777777778</v>
                </pt>
                <pt idx="2">
                  <v>0.7826086956521739</v>
                </pt>
              </numCache>
            </numRef>
          </val>
        </ser>
        <gapWidth val="120"/>
        <overlap val="0"/>
        <axId val="33854552"/>
        <axId val="46793574"/>
      </barChart>
      <catAx>
        <axId val="338545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6793574"/>
        <crosses val="autoZero"/>
        <auto val="1"/>
        <lblAlgn val="ctr"/>
        <lblOffset val="100"/>
        <noMultiLvlLbl val="0"/>
      </catAx>
      <valAx>
        <axId val="46793574"/>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3854552"/>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Energy Efficiency — Correct Answers per Wh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Dashboard!P12</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Dashboard!$P$13:$P$15</f>
              <numCache>
                <formatCode>0.00</formatCode>
                <ptCount val="3"/>
                <pt idx="0">
                  <v>6.52515067485026</v>
                </pt>
                <pt idx="1">
                  <v>4.44691648332888</v>
                </pt>
                <pt idx="2">
                  <v>4.83754199486887</v>
                </pt>
              </numCache>
            </numRef>
          </val>
        </ser>
        <ser>
          <idx val="1"/>
          <order val="1"/>
          <tx>
            <strRef>
              <f>Dashboard!Q12</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Dashboard!$Q$13:$Q$15</f>
              <numCache>
                <formatCode>0.00</formatCode>
                <ptCount val="3"/>
                <pt idx="0">
                  <v>0.783402093897553</v>
                </pt>
                <pt idx="1">
                  <v>0.404631634395455</v>
                </pt>
                <pt idx="2">
                  <v>0.20089650063408</v>
                </pt>
              </numCache>
            </numRef>
          </val>
        </ser>
        <ser>
          <idx val="2"/>
          <order val="2"/>
          <tx>
            <strRef>
              <f>Dashboard!R12</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Dashboard!$R$13:$R$15</f>
              <numCache>
                <formatCode>0.00</formatCode>
                <ptCount val="3"/>
                <pt idx="0">
                  <v>1.96518498437426</v>
                </pt>
                <pt idx="1">
                  <v>1.62708963745588</v>
                </pt>
                <pt idx="2">
                  <v>1.41616353991432</v>
                </pt>
              </numCache>
            </numRef>
          </val>
        </ser>
        <gapWidth val="120"/>
        <overlap val="0"/>
        <axId val="76001298"/>
        <axId val="59135908"/>
      </barChart>
      <catAx>
        <axId val="7600129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9135908"/>
        <crosses val="autoZero"/>
        <auto val="1"/>
        <lblAlgn val="ctr"/>
        <lblOffset val="100"/>
        <noMultiLvlLbl val="0"/>
      </catAx>
      <valAx>
        <axId val="5913590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Correct per Wh</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6001298"/>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Wrong Answer Rate by Model × Dataset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Dashboard!P30</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Dashboard!$P$31:$P$33</f>
              <numCache>
                <formatCode>0.0%</formatCode>
                <ptCount val="3"/>
                <pt idx="0">
                  <v>0.0531674208144796</v>
                </pt>
                <pt idx="1">
                  <v>0.136363636363636</v>
                </pt>
                <pt idx="2">
                  <v>0.324534161490683</v>
                </pt>
              </numCache>
            </numRef>
          </val>
        </ser>
        <ser>
          <idx val="1"/>
          <order val="1"/>
          <tx>
            <strRef>
              <f>Dashboard!Q30</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Dashboard!$Q$31:$Q$33</f>
              <numCache>
                <formatCode>0.0%</formatCode>
                <ptCount val="3"/>
                <pt idx="0">
                  <v>0.908</v>
                </pt>
                <pt idx="1">
                  <v>0.877777777777778</v>
                </pt>
                <pt idx="2">
                  <v>0.97360248447205</v>
                </pt>
              </numCache>
            </numRef>
          </val>
        </ser>
        <ser>
          <idx val="2"/>
          <order val="2"/>
          <tx>
            <strRef>
              <f>Dashboard!R30</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Dashboard!$R$31:$R$33</f>
              <numCache>
                <formatCode>0.0%</formatCode>
                <ptCount val="3"/>
                <pt idx="0">
                  <v>0.025</v>
                </pt>
                <pt idx="1">
                  <v>0.202222222222222</v>
                </pt>
                <pt idx="2">
                  <v>0.217391304347826</v>
                </pt>
              </numCache>
            </numRef>
          </val>
        </ser>
        <gapWidth val="120"/>
        <overlap val="0"/>
        <axId val="64655111"/>
        <axId val="54305336"/>
      </barChart>
      <catAx>
        <axId val="6465511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4305336"/>
        <crosses val="autoZero"/>
        <auto val="1"/>
        <lblAlgn val="ctr"/>
        <lblOffset val="100"/>
        <noMultiLvlLbl val="0"/>
      </catAx>
      <valAx>
        <axId val="54305336"/>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Wrong Answer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465511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Grade 8 Math — Accuracy by Category</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Dashboard!P60</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Dashboard!$P$61:$P$65</f>
              <numCache>
                <formatCode>0.0%</formatCode>
                <ptCount val="5"/>
                <pt idx="0">
                  <v>0.5053763440860219</v>
                </pt>
                <pt idx="1">
                  <v>0.863636363636364</v>
                </pt>
                <pt idx="2">
                  <v>0.689655172413793</v>
                </pt>
                <pt idx="3">
                  <v>0.933333333333333</v>
                </pt>
                <pt idx="4">
                  <v>0.658536585365854</v>
                </pt>
              </numCache>
            </numRef>
          </val>
        </ser>
        <ser>
          <idx val="1"/>
          <order val="1"/>
          <tx>
            <strRef>
              <f>Dashboard!Q60</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Dashboard!$Q$61:$Q$65</f>
              <numCache>
                <formatCode>0.0%</formatCode>
                <ptCount val="5"/>
                <pt idx="0">
                  <v>0.00537634408602151</v>
                </pt>
                <pt idx="1">
                  <v>0</v>
                </pt>
                <pt idx="2">
                  <v>0</v>
                </pt>
                <pt idx="3">
                  <v>0</v>
                </pt>
                <pt idx="4">
                  <v>0.0914634146341463</v>
                </pt>
              </numCache>
            </numRef>
          </val>
        </ser>
        <ser>
          <idx val="2"/>
          <order val="2"/>
          <tx>
            <strRef>
              <f>Dashboard!R60</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Dashboard!$R$61:$R$65</f>
              <numCache>
                <formatCode>0.0%</formatCode>
                <ptCount val="5"/>
                <pt idx="0">
                  <v>0.591397849462366</v>
                </pt>
                <pt idx="1">
                  <v>0.977272727272727</v>
                </pt>
                <pt idx="2">
                  <v>0.875862068965517</v>
                </pt>
                <pt idx="3">
                  <v>0.95</v>
                </pt>
                <pt idx="4">
                  <v>0.75</v>
                </pt>
              </numCache>
            </numRef>
          </val>
        </ser>
        <gapWidth val="120"/>
        <overlap val="0"/>
        <axId val="48422810"/>
        <axId val="71607454"/>
      </barChart>
      <catAx>
        <axId val="48422810"/>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607454"/>
        <crosses val="autoZero"/>
        <auto val="1"/>
        <lblAlgn val="ctr"/>
        <lblOffset val="100"/>
        <noMultiLvlLbl val="0"/>
      </catAx>
      <valAx>
        <axId val="71607454"/>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8422810"/>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Accuracy vs Energy Efficiency (upper-right = best)</a:t>
            </a:r>
          </a:p>
        </rich>
      </tx>
      <overlay val="0"/>
      <spPr>
        <a:noFill xmlns:a="http://schemas.openxmlformats.org/drawingml/2006/main"/>
        <a:ln xmlns:a="http://schemas.openxmlformats.org/drawingml/2006/main" w="0">
          <a:noFill/>
          <a:prstDash val="solid"/>
        </a:ln>
      </spPr>
    </title>
    <plotArea>
      <scatterChart>
        <scatterStyle val="lineMarker"/>
        <varyColors val="0"/>
        <ser>
          <idx val="0"/>
          <order val="0"/>
          <tx>
            <strRef>
              <f>"Gemma3:4b"</f>
              <strCache>
                <ptCount val="1"/>
                <pt idx="0">
                  <v>Gemma3:4b</v>
                </pt>
              </strCache>
            </strRef>
          </tx>
          <spPr>
            <a:solidFill xmlns:a="http://schemas.openxmlformats.org/drawingml/2006/main">
              <a:srgbClr val="4472c4"/>
            </a:solidFill>
            <a:ln xmlns:a="http://schemas.openxmlformats.org/drawingml/2006/main" w="28440">
              <a:noFill/>
              <a:prstDash val="solid"/>
            </a:ln>
          </spPr>
          <marker>
            <symbol val="circle"/>
            <size val="14"/>
            <spPr>
              <a:solidFill xmlns:a="http://schemas.openxmlformats.org/drawingml/2006/main">
                <a:srgbClr val="4472c4"/>
              </a:solidFill>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xVal>
            <numRef>
              <f>Dashboard!$Q$69:$Q$71</f>
              <numCache>
                <formatCode>0.00</formatCode>
                <ptCount val="3"/>
                <pt idx="0">
                  <v>6.52515067485026</v>
                </pt>
                <pt idx="1">
                  <v>4.44691648332888</v>
                </pt>
                <pt idx="2">
                  <v>4.83754199486887</v>
                </pt>
              </numCache>
            </numRef>
          </xVal>
          <yVal>
            <numRef>
              <f>Dashboard!$P$69:$P$71</f>
              <numCache>
                <formatCode>0.0%</formatCode>
                <ptCount val="3"/>
                <pt idx="0">
                  <v>0.94683257918552</v>
                </pt>
                <pt idx="1">
                  <v>0.863636363636364</v>
                </pt>
                <pt idx="2">
                  <v>0.675465838509317</v>
                </pt>
              </numCache>
            </numRef>
          </yVal>
          <smooth val="1"/>
        </ser>
        <ser>
          <idx val="1"/>
          <order val="1"/>
          <tx>
            <strRef>
              <f>"Phi3:3.8b"</f>
              <strCache>
                <ptCount val="1"/>
                <pt idx="0">
                  <v>Phi3:3.8b</v>
                </pt>
              </strCache>
            </strRef>
          </tx>
          <spPr>
            <a:solidFill xmlns:a="http://schemas.openxmlformats.org/drawingml/2006/main">
              <a:srgbClr val="ed7d31"/>
            </a:solidFill>
            <a:ln xmlns:a="http://schemas.openxmlformats.org/drawingml/2006/main" w="28440">
              <a:noFill/>
              <a:prstDash val="solid"/>
            </a:ln>
          </spPr>
          <marker>
            <symbol val="circle"/>
            <size val="14"/>
            <spPr>
              <a:solidFill xmlns:a="http://schemas.openxmlformats.org/drawingml/2006/main">
                <a:srgbClr val="ed7d31"/>
              </a:solidFill>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xVal>
            <numRef>
              <f>Dashboard!$Q$72:$Q$74</f>
              <numCache>
                <formatCode>0.00</formatCode>
                <ptCount val="3"/>
                <pt idx="0">
                  <v>0.783402093897553</v>
                </pt>
                <pt idx="1">
                  <v>0.404631634395455</v>
                </pt>
                <pt idx="2">
                  <v>0.20089650063408</v>
                </pt>
              </numCache>
            </numRef>
          </xVal>
          <yVal>
            <numRef>
              <f>Dashboard!$P$72:$P$74</f>
              <numCache>
                <formatCode>0.0%</formatCode>
                <ptCount val="3"/>
                <pt idx="0">
                  <v>0.092</v>
                </pt>
                <pt idx="1">
                  <v>0.122222222222222</v>
                </pt>
                <pt idx="2">
                  <v>0.0248447204968944</v>
                </pt>
              </numCache>
            </numRef>
          </yVal>
          <smooth val="1"/>
        </ser>
        <ser>
          <idx val="2"/>
          <order val="2"/>
          <tx>
            <strRef>
              <f>"Qwen3:4b"</f>
              <strCache>
                <ptCount val="1"/>
                <pt idx="0">
                  <v>Qwen3:4b</v>
                </pt>
              </strCache>
            </strRef>
          </tx>
          <spPr>
            <a:solidFill xmlns:a="http://schemas.openxmlformats.org/drawingml/2006/main">
              <a:srgbClr val="70ad47"/>
            </a:solidFill>
            <a:ln xmlns:a="http://schemas.openxmlformats.org/drawingml/2006/main" w="28440">
              <a:noFill/>
              <a:prstDash val="solid"/>
            </a:ln>
          </spPr>
          <marker>
            <symbol val="circle"/>
            <size val="14"/>
            <spPr>
              <a:solidFill xmlns:a="http://schemas.openxmlformats.org/drawingml/2006/main">
                <a:srgbClr val="70ad47"/>
              </a:solidFill>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xVal>
            <numRef>
              <f>Dashboard!$Q$75:$Q$77</f>
              <numCache>
                <formatCode>0.00</formatCode>
                <ptCount val="3"/>
                <pt idx="0">
                  <v>1.96518498437426</v>
                </pt>
                <pt idx="1">
                  <v>1.62708963745588</v>
                </pt>
                <pt idx="2">
                  <v>1.41616353991432</v>
                </pt>
              </numCache>
            </numRef>
          </xVal>
          <yVal>
            <numRef>
              <f>Dashboard!$P$75:$P$77</f>
              <numCache>
                <formatCode>0.0%</formatCode>
                <ptCount val="3"/>
                <pt idx="0">
                  <v>0.975</v>
                </pt>
                <pt idx="1">
                  <v>0.797777777777778</v>
                </pt>
                <pt idx="2">
                  <v>0.7826086956521739</v>
                </pt>
              </numCache>
            </numRef>
          </yVal>
          <smooth val="1"/>
        </ser>
        <axId val="31741377"/>
        <axId val="96669058"/>
      </scatterChart>
      <valAx>
        <axId val="31741377"/>
        <scaling>
          <orientation val="minMax"/>
        </scaling>
        <delete val="0"/>
        <axPos val="b"/>
        <majorGridlines>
          <spPr>
            <a:ln xmlns:a="http://schemas.openxmlformats.org/drawingml/2006/main" w="9360">
              <a:solidFill>
                <a:srgbClr val="878787"/>
              </a:solidFill>
              <a:prstDash val="solid"/>
              <a:round/>
            </a:ln>
          </spPr>
        </majorGridlines>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Correct answers per Wh</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6669058"/>
        <crosses val="autoZero"/>
        <crossBetween val="midCat"/>
      </valAx>
      <valAx>
        <axId val="9666905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1741377"/>
        <crosses val="autoZero"/>
        <crossBetween val="midCat"/>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Headline Accuracy by Model × Dataset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Dashboard!P6</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Dashboard!$P$7:$P$9</f>
              <numCache>
                <formatCode>0.0%</formatCode>
                <ptCount val="3"/>
                <pt idx="0">
                  <v>0.94683257918552</v>
                </pt>
                <pt idx="1">
                  <v>0.863636363636364</v>
                </pt>
                <pt idx="2">
                  <v>0.675465838509317</v>
                </pt>
              </numCache>
            </numRef>
          </val>
        </ser>
        <ser>
          <idx val="1"/>
          <order val="1"/>
          <tx>
            <strRef>
              <f>Dashboard!Q6</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Dashboard!$Q$7:$Q$9</f>
              <numCache>
                <formatCode>0.0%</formatCode>
                <ptCount val="3"/>
                <pt idx="0">
                  <v>0.092</v>
                </pt>
                <pt idx="1">
                  <v>0.122222222222222</v>
                </pt>
                <pt idx="2">
                  <v>0.0248447204968944</v>
                </pt>
              </numCache>
            </numRef>
          </val>
        </ser>
        <ser>
          <idx val="2"/>
          <order val="2"/>
          <tx>
            <strRef>
              <f>Dashboard!R6</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Dashboard!$R$7:$R$9</f>
              <numCache>
                <formatCode>0.0%</formatCode>
                <ptCount val="3"/>
                <pt idx="0">
                  <v>0.975</v>
                </pt>
                <pt idx="1">
                  <v>0.797777777777778</v>
                </pt>
                <pt idx="2">
                  <v>0.7826086956521739</v>
                </pt>
              </numCache>
            </numRef>
          </val>
        </ser>
        <gapWidth val="120"/>
        <overlap val="0"/>
        <axId val="62215960"/>
        <axId val="2135743"/>
      </barChart>
      <catAx>
        <axId val="62215960"/>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135743"/>
        <crosses val="autoZero"/>
        <auto val="1"/>
        <lblAlgn val="ctr"/>
        <lblOffset val="100"/>
        <noMultiLvlLbl val="0"/>
      </catAx>
      <valAx>
        <axId val="213574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2215960"/>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Accuracy by Model × Dataset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Dashboard!P6</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Dashboard!$P$7:$P$9</f>
              <numCache>
                <formatCode>0.0%</formatCode>
                <ptCount val="3"/>
                <pt idx="0">
                  <v>0.94683257918552</v>
                </pt>
                <pt idx="1">
                  <v>0.863636363636364</v>
                </pt>
                <pt idx="2">
                  <v>0.675465838509317</v>
                </pt>
              </numCache>
            </numRef>
          </val>
        </ser>
        <ser>
          <idx val="1"/>
          <order val="1"/>
          <tx>
            <strRef>
              <f>Dashboard!Q6</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Dashboard!$Q$7:$Q$9</f>
              <numCache>
                <formatCode>0.0%</formatCode>
                <ptCount val="3"/>
                <pt idx="0">
                  <v>0.092</v>
                </pt>
                <pt idx="1">
                  <v>0.122222222222222</v>
                </pt>
                <pt idx="2">
                  <v>0.0248447204968944</v>
                </pt>
              </numCache>
            </numRef>
          </val>
        </ser>
        <ser>
          <idx val="2"/>
          <order val="2"/>
          <tx>
            <strRef>
              <f>Dashboard!R6</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Dashboard!$O$7:$O$9</f>
              <strCache>
                <ptCount val="3"/>
                <pt idx="0">
                  <v>Adv Probability &amp; Statistics</v>
                </pt>
                <pt idx="1">
                  <v>Calculus I</v>
                </pt>
                <pt idx="2">
                  <v>Grade 8 Math</v>
                </pt>
              </strCache>
            </strRef>
          </cat>
          <val>
            <numRef>
              <f>Dashboard!$R$7:$R$9</f>
              <numCache>
                <formatCode>0.0%</formatCode>
                <ptCount val="3"/>
                <pt idx="0">
                  <v>0.975</v>
                </pt>
                <pt idx="1">
                  <v>0.797777777777778</v>
                </pt>
                <pt idx="2">
                  <v>0.7826086956521739</v>
                </pt>
              </numCache>
            </numRef>
          </val>
        </ser>
        <gapWidth val="120"/>
        <overlap val="0"/>
        <axId val="50244688"/>
        <axId val="29841049"/>
      </barChart>
      <catAx>
        <axId val="5024468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9841049"/>
        <crosses val="autoZero"/>
        <auto val="1"/>
        <lblAlgn val="ctr"/>
        <lblOffset val="100"/>
        <noMultiLvlLbl val="0"/>
      </catAx>
      <valAx>
        <axId val="29841049"/>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0244688"/>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Grade 8 Math — Accuracy by Category</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Dashboard!P60</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Dashboard!$P$61:$P$65</f>
              <numCache>
                <formatCode>0.0%</formatCode>
                <ptCount val="5"/>
                <pt idx="0">
                  <v>0.5053763440860219</v>
                </pt>
                <pt idx="1">
                  <v>0.863636363636364</v>
                </pt>
                <pt idx="2">
                  <v>0.689655172413793</v>
                </pt>
                <pt idx="3">
                  <v>0.933333333333333</v>
                </pt>
                <pt idx="4">
                  <v>0.658536585365854</v>
                </pt>
              </numCache>
            </numRef>
          </val>
        </ser>
        <ser>
          <idx val="1"/>
          <order val="1"/>
          <tx>
            <strRef>
              <f>Dashboard!Q60</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Dashboard!$Q$61:$Q$65</f>
              <numCache>
                <formatCode>0.0%</formatCode>
                <ptCount val="5"/>
                <pt idx="0">
                  <v>0.00537634408602151</v>
                </pt>
                <pt idx="1">
                  <v>0</v>
                </pt>
                <pt idx="2">
                  <v>0</v>
                </pt>
                <pt idx="3">
                  <v>0</v>
                </pt>
                <pt idx="4">
                  <v>0.0914634146341463</v>
                </pt>
              </numCache>
            </numRef>
          </val>
        </ser>
        <ser>
          <idx val="2"/>
          <order val="2"/>
          <tx>
            <strRef>
              <f>Dashboard!R60</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Dashboard!$O$61:$O$65</f>
              <strCache>
                <ptCount val="5"/>
                <pt idx="0">
                  <v>Expressions &amp; Equations</v>
                </pt>
                <pt idx="1">
                  <v>Functions</v>
                </pt>
                <pt idx="2">
                  <v>Geometry</v>
                </pt>
                <pt idx="3">
                  <v>Statistics &amp; Probability</v>
                </pt>
                <pt idx="4">
                  <v>The Number System</v>
                </pt>
              </strCache>
            </strRef>
          </cat>
          <val>
            <numRef>
              <f>Dashboard!$R$61:$R$65</f>
              <numCache>
                <formatCode>0.0%</formatCode>
                <ptCount val="5"/>
                <pt idx="0">
                  <v>0.591397849462366</v>
                </pt>
                <pt idx="1">
                  <v>0.977272727272727</v>
                </pt>
                <pt idx="2">
                  <v>0.875862068965517</v>
                </pt>
                <pt idx="3">
                  <v>0.95</v>
                </pt>
                <pt idx="4">
                  <v>0.75</v>
                </pt>
              </numCache>
            </numRef>
          </val>
        </ser>
        <gapWidth val="120"/>
        <overlap val="0"/>
        <axId val="49642949"/>
        <axId val="75344132"/>
      </barChart>
      <catAx>
        <axId val="49642949"/>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5344132"/>
        <crosses val="autoZero"/>
        <auto val="1"/>
        <lblAlgn val="ctr"/>
        <lblOffset val="100"/>
        <noMultiLvlLbl val="0"/>
      </catAx>
      <valAx>
        <axId val="75344132"/>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9642949"/>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Energy Efficiency — Correct per Wh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Dashboard!P12</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Dashboard!$P$13:$P$15</f>
              <numCache>
                <formatCode>0.00</formatCode>
                <ptCount val="3"/>
                <pt idx="0">
                  <v>6.52515067485026</v>
                </pt>
                <pt idx="1">
                  <v>4.44691648332888</v>
                </pt>
                <pt idx="2">
                  <v>4.83754199486887</v>
                </pt>
              </numCache>
            </numRef>
          </val>
        </ser>
        <ser>
          <idx val="1"/>
          <order val="1"/>
          <tx>
            <strRef>
              <f>Dashboard!Q12</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Dashboard!$Q$13:$Q$15</f>
              <numCache>
                <formatCode>0.00</formatCode>
                <ptCount val="3"/>
                <pt idx="0">
                  <v>0.783402093897553</v>
                </pt>
                <pt idx="1">
                  <v>0.404631634395455</v>
                </pt>
                <pt idx="2">
                  <v>0.20089650063408</v>
                </pt>
              </numCache>
            </numRef>
          </val>
        </ser>
        <ser>
          <idx val="2"/>
          <order val="2"/>
          <tx>
            <strRef>
              <f>Dashboard!R12</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Dashboard!$O$13:$O$15</f>
              <strCache>
                <ptCount val="3"/>
                <pt idx="0">
                  <v>Adv Probability &amp; Statistics</v>
                </pt>
                <pt idx="1">
                  <v>Calculus I</v>
                </pt>
                <pt idx="2">
                  <v>Grade 8 Math</v>
                </pt>
              </strCache>
            </strRef>
          </cat>
          <val>
            <numRef>
              <f>Dashboard!$R$13:$R$15</f>
              <numCache>
                <formatCode>0.00</formatCode>
                <ptCount val="3"/>
                <pt idx="0">
                  <v>1.96518498437426</v>
                </pt>
                <pt idx="1">
                  <v>1.62708963745588</v>
                </pt>
                <pt idx="2">
                  <v>1.41616353991432</v>
                </pt>
              </numCache>
            </numRef>
          </val>
        </ser>
        <gapWidth val="120"/>
        <overlap val="0"/>
        <axId val="26479810"/>
        <axId val="63053908"/>
      </barChart>
      <catAx>
        <axId val="26479810"/>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3053908"/>
        <crosses val="autoZero"/>
        <auto val="1"/>
        <lblAlgn val="ctr"/>
        <lblOffset val="100"/>
        <noMultiLvlLbl val="0"/>
      </catAx>
      <valAx>
        <axId val="6305390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Correct / Wh</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6479810"/>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Token Efficiency — Correct per 1k Tokens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Dashboard!P18</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Dashboard!$O$19:$O$21</f>
              <strCache>
                <ptCount val="3"/>
                <pt idx="0">
                  <v>Adv Probability &amp; Statistics</v>
                </pt>
                <pt idx="1">
                  <v>Calculus I</v>
                </pt>
                <pt idx="2">
                  <v>Grade 8 Math</v>
                </pt>
              </strCache>
            </strRef>
          </cat>
          <val>
            <numRef>
              <f>Dashboard!$P$19:$P$21</f>
              <numCache>
                <formatCode>0.00</formatCode>
                <ptCount val="3"/>
                <pt idx="0">
                  <v>2.1510847943748</v>
                </pt>
                <pt idx="1">
                  <v>1.72139054247784</v>
                </pt>
                <pt idx="2">
                  <v>1.87228035138613</v>
                </pt>
              </numCache>
            </numRef>
          </val>
        </ser>
        <ser>
          <idx val="1"/>
          <order val="1"/>
          <tx>
            <strRef>
              <f>Dashboard!Q18</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Dashboard!$O$19:$O$21</f>
              <strCache>
                <ptCount val="3"/>
                <pt idx="0">
                  <v>Adv Probability &amp; Statistics</v>
                </pt>
                <pt idx="1">
                  <v>Calculus I</v>
                </pt>
                <pt idx="2">
                  <v>Grade 8 Math</v>
                </pt>
              </strCache>
            </strRef>
          </cat>
          <val>
            <numRef>
              <f>Dashboard!$Q$19:$Q$21</f>
              <numCache>
                <formatCode>0.00</formatCode>
                <ptCount val="3"/>
                <pt idx="0">
                  <v>0.236205108192209</v>
                </pt>
                <pt idx="1">
                  <v>0.102768201649897</v>
                </pt>
                <pt idx="2">
                  <v>0.0620094952039531</v>
                </pt>
              </numCache>
            </numRef>
          </val>
        </ser>
        <ser>
          <idx val="2"/>
          <order val="2"/>
          <tx>
            <strRef>
              <f>Dashboard!R18</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Dashboard!$O$19:$O$21</f>
              <strCache>
                <ptCount val="3"/>
                <pt idx="0">
                  <v>Adv Probability &amp; Statistics</v>
                </pt>
                <pt idx="1">
                  <v>Calculus I</v>
                </pt>
                <pt idx="2">
                  <v>Grade 8 Math</v>
                </pt>
              </strCache>
            </strRef>
          </cat>
          <val>
            <numRef>
              <f>Dashboard!$R$19:$R$21</f>
              <numCache>
                <formatCode>0.00</formatCode>
                <ptCount val="3"/>
                <pt idx="0">
                  <v>0.646779469428559</v>
                </pt>
                <pt idx="1">
                  <v>0.537397797118111</v>
                </pt>
                <pt idx="2">
                  <v>0.515696512602334</v>
                </pt>
              </numCache>
            </numRef>
          </val>
        </ser>
        <gapWidth val="120"/>
        <overlap val="0"/>
        <axId val="49172081"/>
        <axId val="34104488"/>
      </barChart>
      <catAx>
        <axId val="4917208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4104488"/>
        <crosses val="autoZero"/>
        <auto val="1"/>
        <lblAlgn val="ctr"/>
        <lblOffset val="100"/>
        <noMultiLvlLbl val="0"/>
      </catAx>
      <valAx>
        <axId val="3410448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Correct / 1k Tokens</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917208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Energy per Question (Wh, lower = better)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Dashboard!P24</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Dashboard!$O$25:$O$27</f>
              <strCache>
                <ptCount val="3"/>
                <pt idx="0">
                  <v>Adv Probability &amp; Statistics</v>
                </pt>
                <pt idx="1">
                  <v>Calculus I</v>
                </pt>
                <pt idx="2">
                  <v>Grade 8 Math</v>
                </pt>
              </strCache>
            </strRef>
          </cat>
          <val>
            <numRef>
              <f>Dashboard!$P$25:$P$27</f>
              <numCache>
                <formatCode>0.000</formatCode>
                <ptCount val="3"/>
                <pt idx="0">
                  <v>0.145105090497738</v>
                </pt>
                <pt idx="1">
                  <v>0.194210160427808</v>
                </pt>
                <pt idx="2">
                  <v>0.139629968944099</v>
                </pt>
              </numCache>
            </numRef>
          </val>
        </ser>
        <ser>
          <idx val="1"/>
          <order val="1"/>
          <tx>
            <strRef>
              <f>Dashboard!Q24</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Dashboard!$O$25:$O$27</f>
              <strCache>
                <ptCount val="3"/>
                <pt idx="0">
                  <v>Adv Probability &amp; Statistics</v>
                </pt>
                <pt idx="1">
                  <v>Calculus I</v>
                </pt>
                <pt idx="2">
                  <v>Grade 8 Math</v>
                </pt>
              </strCache>
            </strRef>
          </cat>
          <val>
            <numRef>
              <f>Dashboard!$Q$25:$Q$27</f>
              <numCache>
                <formatCode>0.000</formatCode>
                <ptCount val="3"/>
                <pt idx="0">
                  <v>0.1174365</v>
                </pt>
                <pt idx="1">
                  <v>0.302058</v>
                </pt>
                <pt idx="2">
                  <v>0.123669254658385</v>
                </pt>
              </numCache>
            </numRef>
          </val>
        </ser>
        <ser>
          <idx val="2"/>
          <order val="2"/>
          <tx>
            <strRef>
              <f>Dashboard!R24</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Dashboard!$O$25:$O$27</f>
              <strCache>
                <ptCount val="3"/>
                <pt idx="0">
                  <v>Adv Probability &amp; Statistics</v>
                </pt>
                <pt idx="1">
                  <v>Calculus I</v>
                </pt>
                <pt idx="2">
                  <v>Grade 8 Math</v>
                </pt>
              </strCache>
            </strRef>
          </cat>
          <val>
            <numRef>
              <f>Dashboard!$R$25:$R$27</f>
              <numCache>
                <formatCode>0.000</formatCode>
                <ptCount val="3"/>
                <pt idx="0">
                  <v>0.4961365</v>
                </pt>
                <pt idx="1">
                  <v>0.490309666666667</v>
                </pt>
                <pt idx="2">
                  <v>0.552625931677019</v>
                </pt>
              </numCache>
            </numRef>
          </val>
        </ser>
        <gapWidth val="120"/>
        <overlap val="0"/>
        <axId val="82381292"/>
        <axId val="52053518"/>
      </barChart>
      <catAx>
        <axId val="8238129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2053518"/>
        <crosses val="autoZero"/>
        <auto val="1"/>
        <lblAlgn val="ctr"/>
        <lblOffset val="100"/>
        <noMultiLvlLbl val="0"/>
      </catAx>
      <valAx>
        <axId val="5205351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Wh per question</a:t>
                </a:r>
              </a:p>
            </rich>
          </tx>
          <overlay val="0"/>
          <spPr>
            <a:noFill xmlns:a="http://schemas.openxmlformats.org/drawingml/2006/main"/>
            <a:ln xmlns:a="http://schemas.openxmlformats.org/drawingml/2006/main" w="0">
              <a:noFill/>
              <a:prstDash val="solid"/>
            </a:ln>
          </spPr>
        </title>
        <numFmt formatCode="0.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2381292"/>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Wrong Answer Rate by Model × Dataset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Dashboard!P30</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Dashboard!$P$31:$P$33</f>
              <numCache>
                <formatCode>0.0%</formatCode>
                <ptCount val="3"/>
                <pt idx="0">
                  <v>0.0531674208144796</v>
                </pt>
                <pt idx="1">
                  <v>0.136363636363636</v>
                </pt>
                <pt idx="2">
                  <v>0.324534161490683</v>
                </pt>
              </numCache>
            </numRef>
          </val>
        </ser>
        <ser>
          <idx val="1"/>
          <order val="1"/>
          <tx>
            <strRef>
              <f>Dashboard!Q30</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Dashboard!$Q$31:$Q$33</f>
              <numCache>
                <formatCode>0.0%</formatCode>
                <ptCount val="3"/>
                <pt idx="0">
                  <v>0.908</v>
                </pt>
                <pt idx="1">
                  <v>0.877777777777778</v>
                </pt>
                <pt idx="2">
                  <v>0.97360248447205</v>
                </pt>
              </numCache>
            </numRef>
          </val>
        </ser>
        <ser>
          <idx val="2"/>
          <order val="2"/>
          <tx>
            <strRef>
              <f>Dashboard!R30</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Dashboard!$O$31:$O$33</f>
              <strCache>
                <ptCount val="3"/>
                <pt idx="0">
                  <v>Adv Probability &amp; Statistics</v>
                </pt>
                <pt idx="1">
                  <v>Calculus I</v>
                </pt>
                <pt idx="2">
                  <v>Grade 8 Math</v>
                </pt>
              </strCache>
            </strRef>
          </cat>
          <val>
            <numRef>
              <f>Dashboard!$R$31:$R$33</f>
              <numCache>
                <formatCode>0.0%</formatCode>
                <ptCount val="3"/>
                <pt idx="0">
                  <v>0.025</v>
                </pt>
                <pt idx="1">
                  <v>0.202222222222222</v>
                </pt>
                <pt idx="2">
                  <v>0.217391304347826</v>
                </pt>
              </numCache>
            </numRef>
          </val>
        </ser>
        <gapWidth val="120"/>
        <overlap val="0"/>
        <axId val="85136207"/>
        <axId val="4913531"/>
      </barChart>
      <catAx>
        <axId val="8513620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913531"/>
        <crosses val="autoZero"/>
        <auto val="1"/>
        <lblAlgn val="ctr"/>
        <lblOffset val="100"/>
        <noMultiLvlLbl val="0"/>
      </catAx>
      <valAx>
        <axId val="491353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Wrong Answer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513620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Mean Accuracy Across Runs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Dashboard!P48</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Dashboard!$O$49:$O$51</f>
              <strCache>
                <ptCount val="3"/>
                <pt idx="0">
                  <v>Adv Probability &amp; Statistics</v>
                </pt>
                <pt idx="1">
                  <v>Calculus I</v>
                </pt>
                <pt idx="2">
                  <v>Grade 8 Math</v>
                </pt>
              </strCache>
            </strRef>
          </cat>
          <val>
            <numRef>
              <f>Dashboard!$P$49:$P$51</f>
              <numCache>
                <formatCode>0.0%</formatCode>
                <ptCount val="3"/>
                <pt idx="0">
                  <v>0.94291628959276</v>
                </pt>
                <pt idx="1">
                  <v>0.858989898989899</v>
                </pt>
                <pt idx="2">
                  <v>0.668478260869565</v>
                </pt>
              </numCache>
            </numRef>
          </val>
        </ser>
        <ser>
          <idx val="1"/>
          <order val="1"/>
          <tx>
            <strRef>
              <f>Dashboard!Q48</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Dashboard!$O$49:$O$51</f>
              <strCache>
                <ptCount val="3"/>
                <pt idx="0">
                  <v>Adv Probability &amp; Statistics</v>
                </pt>
                <pt idx="1">
                  <v>Calculus I</v>
                </pt>
                <pt idx="2">
                  <v>Grade 8 Math</v>
                </pt>
              </strCache>
            </strRef>
          </cat>
          <val>
            <numRef>
              <f>Dashboard!$Q$49:$Q$51</f>
              <numCache>
                <formatCode>0.0%</formatCode>
                <ptCount val="3"/>
                <pt idx="0">
                  <v>0.0765</v>
                </pt>
                <pt idx="1">
                  <v>0.121111111111111</v>
                </pt>
                <pt idx="2">
                  <v>0.0263975155279503</v>
                </pt>
              </numCache>
            </numRef>
          </val>
        </ser>
        <ser>
          <idx val="2"/>
          <order val="2"/>
          <tx>
            <strRef>
              <f>Dashboard!R48</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Dashboard!$O$49:$O$51</f>
              <strCache>
                <ptCount val="3"/>
                <pt idx="0">
                  <v>Adv Probability &amp; Statistics</v>
                </pt>
                <pt idx="1">
                  <v>Calculus I</v>
                </pt>
                <pt idx="2">
                  <v>Grade 8 Math</v>
                </pt>
              </strCache>
            </strRef>
          </cat>
          <val>
            <numRef>
              <f>Dashboard!$R$49:$R$51</f>
              <numCache>
                <formatCode>0.0%</formatCode>
                <ptCount val="3"/>
                <pt idx="0">
                  <v>0.973666666666667</v>
                </pt>
                <pt idx="1">
                  <v>0.795741731431208</v>
                </pt>
                <pt idx="2">
                  <v>0.761407111570265</v>
                </pt>
              </numCache>
            </numRef>
          </val>
        </ser>
        <gapWidth val="120"/>
        <overlap val="0"/>
        <axId val="5432005"/>
        <axId val="85311291"/>
      </barChart>
      <catAx>
        <axId val="5432005"/>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5311291"/>
        <crosses val="autoZero"/>
        <auto val="1"/>
        <lblAlgn val="ctr"/>
        <lblOffset val="100"/>
        <noMultiLvlLbl val="0"/>
      </catAx>
      <valAx>
        <axId val="8531129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Mean Accuracy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432005"/>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Accuracy SD Across Runs (lower = more stable)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Dashboard!P54</f>
              <strCache>
                <ptCount val="1"/>
                <pt idx="0">
                  <v>Gemma3:4b</v>
                </pt>
              </strCache>
            </strRef>
          </tx>
          <spPr>
            <a:solidFill xmlns:a="http://schemas.openxmlformats.org/drawingml/2006/main">
              <a:srgbClr val="4472c4"/>
            </a:solidFill>
            <a:ln xmlns:a="http://schemas.openxmlformats.org/drawingml/2006/main" w="0">
              <a:solidFill>
                <a:srgbClr val="4472c4"/>
              </a:solidFill>
              <a:prstDash val="solid"/>
            </a:ln>
          </spPr>
          <invertIfNegative val="0"/>
          <dLbls>
            <numFmt formatCode="0.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Dashboard!$O$55:$O$57</f>
              <strCache>
                <ptCount val="3"/>
                <pt idx="0">
                  <v>Adv Probability &amp; Statistics</v>
                </pt>
                <pt idx="1">
                  <v>Calculus I</v>
                </pt>
                <pt idx="2">
                  <v>Grade 8 Math</v>
                </pt>
              </strCache>
            </strRef>
          </cat>
          <val>
            <numRef>
              <f>Dashboard!$P$55:$P$57</f>
              <numCache>
                <formatCode>0.0000</formatCode>
                <ptCount val="3"/>
                <pt idx="0">
                  <v>0.00553846985626211</v>
                </pt>
                <pt idx="1">
                  <v>0.0041745410747014</v>
                </pt>
                <pt idx="2">
                  <v>0.009881927066271629</v>
                </pt>
              </numCache>
            </numRef>
          </val>
        </ser>
        <ser>
          <idx val="1"/>
          <order val="1"/>
          <tx>
            <strRef>
              <f>Dashboard!Q54</f>
              <strCache>
                <ptCount val="1"/>
                <pt idx="0">
                  <v>Phi3:3.8b</v>
                </pt>
              </strCache>
            </strRef>
          </tx>
          <spPr>
            <a:solidFill xmlns:a="http://schemas.openxmlformats.org/drawingml/2006/main">
              <a:srgbClr val="ed7d31"/>
            </a:solidFill>
            <a:ln xmlns:a="http://schemas.openxmlformats.org/drawingml/2006/main" w="0">
              <a:solidFill>
                <a:srgbClr val="ed7d31"/>
              </a:solidFill>
              <a:prstDash val="solid"/>
            </a:ln>
          </spPr>
          <invertIfNegative val="0"/>
          <dLbls>
            <numFmt formatCode="0.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Dashboard!$O$55:$O$57</f>
              <strCache>
                <ptCount val="3"/>
                <pt idx="0">
                  <v>Adv Probability &amp; Statistics</v>
                </pt>
                <pt idx="1">
                  <v>Calculus I</v>
                </pt>
                <pt idx="2">
                  <v>Grade 8 Math</v>
                </pt>
              </strCache>
            </strRef>
          </cat>
          <val>
            <numRef>
              <f>Dashboard!$Q$55:$Q$57</f>
              <numCache>
                <formatCode>0.0000</formatCode>
                <ptCount val="3"/>
                <pt idx="0">
                  <v>0.021920310216783</v>
                </pt>
                <pt idx="1">
                  <v>0.00157134840263677</v>
                </pt>
                <pt idx="2">
                  <v>0.00219598379250481</v>
                </pt>
              </numCache>
            </numRef>
          </val>
        </ser>
        <ser>
          <idx val="2"/>
          <order val="2"/>
          <tx>
            <strRef>
              <f>Dashboard!R54</f>
              <strCache>
                <ptCount val="1"/>
                <pt idx="0">
                  <v>Qwen3:4b</v>
                </pt>
              </strCache>
            </strRef>
          </tx>
          <spPr>
            <a:solidFill xmlns:a="http://schemas.openxmlformats.org/drawingml/2006/main">
              <a:srgbClr val="70ad47"/>
            </a:solidFill>
            <a:ln xmlns:a="http://schemas.openxmlformats.org/drawingml/2006/main" w="0">
              <a:solidFill>
                <a:srgbClr val="70ad47"/>
              </a:solidFill>
              <a:prstDash val="solid"/>
            </a:ln>
          </spPr>
          <invertIfNegative val="0"/>
          <dLbls>
            <numFmt formatCode="0.00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Dashboard!$O$55:$O$57</f>
              <strCache>
                <ptCount val="3"/>
                <pt idx="0">
                  <v>Adv Probability &amp; Statistics</v>
                </pt>
                <pt idx="1">
                  <v>Calculus I</v>
                </pt>
                <pt idx="2">
                  <v>Grade 8 Math</v>
                </pt>
              </strCache>
            </strRef>
          </cat>
          <val>
            <numRef>
              <f>Dashboard!$R$55:$R$57</f>
              <numCache>
                <formatCode>0.0000</formatCode>
                <ptCount val="3"/>
                <pt idx="0">
                  <v>0.00115470053837924</v>
                </pt>
                <pt idx="1">
                  <v>0.0149357291510497</v>
                </pt>
                <pt idx="2">
                  <v>0.034068106872898</v>
                </pt>
              </numCache>
            </numRef>
          </val>
        </ser>
        <gapWidth val="120"/>
        <overlap val="0"/>
        <axId val="91210847"/>
        <axId val="26383291"/>
      </barChart>
      <catAx>
        <axId val="9121084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6383291"/>
        <crosses val="autoZero"/>
        <auto val="1"/>
        <lblAlgn val="ctr"/>
        <lblOffset val="100"/>
        <noMultiLvlLbl val="0"/>
      </catAx>
      <valAx>
        <axId val="2638329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Accuracy SD</a:t>
                </a:r>
              </a:p>
            </rich>
          </tx>
          <overlay val="0"/>
          <spPr>
            <a:noFill xmlns:a="http://schemas.openxmlformats.org/drawingml/2006/main"/>
            <a:ln xmlns:a="http://schemas.openxmlformats.org/drawingml/2006/main" w="0">
              <a:noFill/>
              <a:prstDash val="solid"/>
            </a:ln>
          </spPr>
        </title>
        <numFmt formatCode="0.0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121084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s>
</file>

<file path=xl/drawings/_rels/drawing3.xml.rels><Relationships xmlns="http://schemas.openxmlformats.org/package/2006/relationships"><Relationship Type="http://schemas.openxmlformats.org/officeDocument/2006/relationships/chart" Target="/xl/charts/chart7.xml" Id="rId1"/></Relationships>
</file>

<file path=xl/drawings/_rels/drawing4.xml.rels><Relationships xmlns="http://schemas.openxmlformats.org/package/2006/relationships"><Relationship Type="http://schemas.openxmlformats.org/officeDocument/2006/relationships/chart" Target="/xl/charts/chart8.xml" Id="rId1"/></Relationships>
</file>

<file path=xl/drawings/_rels/drawing5.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6.xml.rels><Relationships xmlns="http://schemas.openxmlformats.org/package/2006/relationships"><Relationship Type="http://schemas.openxmlformats.org/officeDocument/2006/relationships/chart" Target="/xl/charts/chart12.xml" Id="rId1"/></Relationships>
</file>

<file path=xl/drawings/_rels/drawing7.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drawing1.xml><?xml version="1.0" encoding="utf-8"?>
<wsDr xmlns="http://schemas.openxmlformats.org/drawingml/2006/spreadsheetDrawing">
  <twoCellAnchor editAs="oneCell">
    <from>
      <col>0</col>
      <colOff>0</colOff>
      <row>4</row>
      <rowOff>0</rowOff>
    </from>
    <to>
      <col>9</col>
      <colOff>307080</colOff>
      <row>24</row>
      <rowOff>149400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0</colOff>
      <row>27</row>
      <rowOff>0</rowOff>
    </from>
    <to>
      <col>9</col>
      <colOff>307080</colOff>
      <row>47</row>
      <rowOff>149400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50</row>
      <rowOff>0</rowOff>
    </from>
    <to>
      <col>9</col>
      <colOff>307080</colOff>
      <row>70</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0</col>
      <colOff>0</colOff>
      <row>73</row>
      <rowOff>0</rowOff>
    </from>
    <to>
      <col>9</col>
      <colOff>307080</colOff>
      <row>95</row>
      <rowOff>128520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0</col>
      <colOff>0</colOff>
      <row>97</row>
      <rowOff>0</rowOff>
    </from>
    <to>
      <col>9</col>
      <colOff>307080</colOff>
      <row>119</row>
      <rowOff>128520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2.xml><?xml version="1.0" encoding="utf-8"?>
<wsDr xmlns="http://schemas.openxmlformats.org/drawingml/2006/spreadsheetDrawing">
  <twoCellAnchor editAs="oneCell">
    <from>
      <col>0</col>
      <colOff>0</colOff>
      <row>7</row>
      <rowOff>232200</rowOff>
    </from>
    <to>
      <col>4</col>
      <colOff>1011960</colOff>
      <row>28</row>
      <rowOff>21960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8</col>
      <colOff>0</colOff>
      <row>4</row>
      <rowOff>0</rowOff>
    </from>
    <to>
      <col>19</col>
      <colOff>473040</colOff>
      <row>22</row>
      <rowOff>170640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0</col>
      <colOff>0</colOff>
      <row>31</row>
      <rowOff>0</rowOff>
    </from>
    <to>
      <col>5</col>
      <colOff>1153080</colOff>
      <row>53</row>
      <rowOff>128880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1</col>
      <colOff>0</colOff>
      <row>16</row>
      <rowOff>0</rowOff>
    </from>
    <to>
      <col>6</col>
      <colOff>856080</colOff>
      <row>34</row>
      <rowOff>170640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37</row>
      <rowOff>0</rowOff>
    </from>
    <to>
      <col>6</col>
      <colOff>856080</colOff>
      <row>55</row>
      <rowOff>170640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58</row>
      <rowOff>0</rowOff>
    </from>
    <to>
      <col>6</col>
      <colOff>856080</colOff>
      <row>76</row>
      <rowOff>170640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6.xml><?xml version="1.0" encoding="utf-8"?>
<wsDr xmlns="http://schemas.openxmlformats.org/drawingml/2006/spreadsheetDrawing">
  <twoCellAnchor editAs="oneCell">
    <from>
      <col>1</col>
      <colOff>0</colOff>
      <row>15</row>
      <rowOff>20880</rowOff>
    </from>
    <to>
      <col>6</col>
      <colOff>856080</colOff>
      <row>34</row>
      <rowOff>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7.xml><?xml version="1.0" encoding="utf-8"?>
<wsDr xmlns="http://schemas.openxmlformats.org/drawingml/2006/spreadsheetDrawing">
  <twoCellAnchor editAs="oneCell">
    <from>
      <col>1</col>
      <colOff>0</colOff>
      <row>16</row>
      <rowOff>0</rowOff>
    </from>
    <to>
      <col>5</col>
      <colOff>1349640</colOff>
      <row>34</row>
      <rowOff>170640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37</row>
      <rowOff>0</rowOff>
    </from>
    <to>
      <col>5</col>
      <colOff>1349640</colOff>
      <row>55</row>
      <rowOff>170640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analysis_report.xlsx" TargetMode="External" Id="rId1"/><Relationship Type="http://schemas.openxmlformats.org/officeDocument/2006/relationships/hyperlink" Target="analysis_report.xlsx" TargetMode="External" Id="rId2"/><Relationship Type="http://schemas.openxmlformats.org/officeDocument/2006/relationships/hyperlink" Target="analysis_report.xlsx" TargetMode="External" Id="rId3"/><Relationship Type="http://schemas.openxmlformats.org/officeDocument/2006/relationships/hyperlink" Target="analysis_report.xlsx" TargetMode="External" Id="rId4"/><Relationship Type="http://schemas.openxmlformats.org/officeDocument/2006/relationships/hyperlink" Target="analysis_report.xlsx" TargetMode="External" Id="rId5"/><Relationship Type="http://schemas.openxmlformats.org/officeDocument/2006/relationships/hyperlink" Target="analysis_report.xlsx" TargetMode="External" Id="rId6"/><Relationship Type="http://schemas.openxmlformats.org/officeDocument/2006/relationships/hyperlink" Target="analysis_report.xlsx" TargetMode="External" Id="rId7"/><Relationship Type="http://schemas.openxmlformats.org/officeDocument/2006/relationships/hyperlink" Target="analysis_report.xlsx" TargetMode="External" Id="rId8"/><Relationship Type="http://schemas.openxmlformats.org/officeDocument/2006/relationships/hyperlink" Target="analysis_report.xlsx" TargetMode="External" Id="rId9"/><Relationship Type="http://schemas.openxmlformats.org/officeDocument/2006/relationships/hyperlink" Target="analysis_report.xlsx" TargetMode="External" Id="rId10"/></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11.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32" customWidth="1" style="35" min="2" max="2"/>
    <col width="95" customWidth="1" style="35" min="3" max="3"/>
  </cols>
  <sheetData>
    <row r="1" ht="24.45" customHeight="1" s="36">
      <c r="A1" s="37" t="inlineStr">
        <is>
          <t>BrainBench — Statistical Analysis Report</t>
        </is>
      </c>
    </row>
    <row r="2" ht="15" customHeight="1" s="36">
      <c r="A2" s="38" t="inlineStr">
        <is>
          <t>Generated 2026-04-17 14:02</t>
        </is>
      </c>
    </row>
    <row r="4" ht="16.15" customHeight="1" s="36">
      <c r="A4" s="39" t="inlineStr">
        <is>
          <t>About this workbook</t>
        </is>
      </c>
    </row>
    <row r="5" ht="90" customHeight="1" s="36">
      <c r="A5" s="40" t="inlineStr">
        <is>
          <t>We tested three small local AI models (Gemma3:4b, Phi3:3.8b, Qwen3:4b) on three math question sets (Calculus I, Advanced Probability &amp; Statistics, Grade 8 Math). For every question we recorded whether the answer was right and how long, how much energy, and how many output tokens the model used. This workbook answers: which model is most accurate, which is most energy-efficient, where the wrong answers come from, and whether the differences between models are real (statistically significant) or just noise.</t>
        </is>
      </c>
    </row>
    <row r="7" ht="16.15" customHeight="1" s="36">
      <c r="A7" s="39" t="inlineStr">
        <is>
          <t>How to read this workbook</t>
        </is>
      </c>
    </row>
    <row r="8" ht="105" customHeight="1" s="36">
      <c r="A8" s="40" t="inlineStr">
        <is>
          <t>• Every data sheet opens with a 3-line header block: title, one-sentence description, and 'How to read'.
• Numbers are formatted for humans — accuracies as percentages, tiny p-values in scientific notation.
• Cells are color-coded. Accuracy uses a red → yellow → green scale. Significant Holm-adjusted p-values (&lt; 0.05) are shaded green; non-significant are gray. Cohen's κ uses the same palette as the agreement heatmap figure.
• Unfamiliar term? See the Glossary sheet at the end — it is keyboard-searchable.</t>
        </is>
      </c>
    </row>
    <row r="10" ht="16.15" customHeight="1" s="36">
      <c r="A10" s="39" t="inlineStr">
        <is>
          <t>Suggested reading order</t>
        </is>
      </c>
    </row>
    <row r="11" ht="15" customHeight="1" s="36">
      <c r="A11" s="41" t="inlineStr">
        <is>
          <t>#</t>
        </is>
      </c>
      <c r="B11" s="41" t="inlineStr">
        <is>
          <t>Sheet</t>
        </is>
      </c>
      <c r="C11" s="41" t="inlineStr">
        <is>
          <t>What it shows</t>
        </is>
      </c>
    </row>
    <row r="12" ht="30" customHeight="1" s="36">
      <c r="A12" s="71" t="inlineStr">
        <is>
          <t>★</t>
        </is>
      </c>
      <c r="B12" s="43" t="inlineStr">
        <is>
          <t>Dashboard</t>
        </is>
      </c>
      <c r="C12" s="44" t="inlineStr">
        <is>
          <t>Visual overview — the headline charts in one place. Open this first for a quick read, then dive into the numbered sheets below for details.</t>
        </is>
      </c>
    </row>
    <row r="13" ht="36" customHeight="1" s="36">
      <c r="A13" s="35" t="n">
        <v>1</v>
      </c>
      <c r="B13" s="45" t="inlineStr">
        <is>
          <t>Executive Summary</t>
        </is>
      </c>
      <c r="C13" s="40" t="inlineStr">
        <is>
          <t>One line per dataset: the winning model, the most energy-efficient model, and how many pairs of models were genuinely different.</t>
        </is>
      </c>
    </row>
    <row r="14" ht="36" customHeight="1" s="36">
      <c r="A14" s="35" t="n">
        <v>2</v>
      </c>
      <c r="B14" s="45" t="inlineStr">
        <is>
          <t>Accuracy</t>
        </is>
      </c>
      <c r="C14" s="40" t="inlineStr">
        <is>
          <t>How often each model got the right answer on each dataset, with a 95% confidence range.</t>
        </is>
      </c>
    </row>
    <row r="15" ht="36" customHeight="1" s="36">
      <c r="A15" s="35" t="n">
        <v>3</v>
      </c>
      <c r="B15" s="45" t="inlineStr">
        <is>
          <t>Per Category Accuracy</t>
        </is>
      </c>
      <c r="C15" s="40" t="inlineStr">
        <is>
          <t>Accuracy split by question category within each dataset — where each model is strong or weak.</t>
        </is>
      </c>
    </row>
    <row r="16" ht="36" customHeight="1" s="36">
      <c r="A16" s="35" t="n">
        <v>4</v>
      </c>
      <c r="B16" s="45" t="inlineStr">
        <is>
          <t>Efficiency</t>
        </is>
      </c>
      <c r="C16" s="40" t="inlineStr">
        <is>
          <t>Bang-for-the-buck: correct answers per unit of energy, per 1,000 output tokens, and per minute of wall time.</t>
        </is>
      </c>
    </row>
    <row r="17" ht="36" customHeight="1" s="36">
      <c r="A17" s="35" t="n">
        <v>5</v>
      </c>
      <c r="B17" s="45" t="inlineStr">
        <is>
          <t>Failure Modes</t>
        </is>
      </c>
      <c r="C17" s="40" t="inlineStr">
        <is>
          <t>When a model is wrong, is it because the answer couldn't be parsed from the output, or because the parsed answer was the wrong number?</t>
        </is>
      </c>
    </row>
    <row r="18" ht="36" customHeight="1" s="36">
      <c r="A18" s="35" t="n">
        <v>6</v>
      </c>
      <c r="B18" s="45" t="inlineStr">
        <is>
          <t>Metric Summary</t>
        </is>
      </c>
      <c r="C18" s="40" t="inlineStr">
        <is>
          <t>Typical per-question cost for each model: how long it takes, how many tokens it writes, how much energy it uses.</t>
        </is>
      </c>
    </row>
    <row r="19" ht="36" customHeight="1" s="36">
      <c r="A19" s="35" t="n">
        <v>7</v>
      </c>
      <c r="B19" s="45" t="inlineStr">
        <is>
          <t>McNemar</t>
        </is>
      </c>
      <c r="C19" s="40" t="inlineStr">
        <is>
          <t>For each pair of models on each dataset: are the accuracy scores actually different, or is the gap within the noise?</t>
        </is>
      </c>
    </row>
    <row r="20" ht="36" customHeight="1" s="36">
      <c r="A20" s="35" t="n">
        <v>8</v>
      </c>
      <c r="B20" s="45" t="inlineStr">
        <is>
          <t>Metric Comparison</t>
        </is>
      </c>
      <c r="C20" s="40" t="inlineStr">
        <is>
          <t>For each pair of models, does one use significantly more/less time, tokens, or energy per question?</t>
        </is>
      </c>
    </row>
    <row r="21" ht="36" customHeight="1" s="36">
      <c r="A21" s="35" t="n">
        <v>9</v>
      </c>
      <c r="B21" s="45" t="inlineStr">
        <is>
          <t>Run Variance</t>
        </is>
      </c>
      <c r="C21" s="40" t="inlineStr">
        <is>
          <t>How much the accuracy wobbles if you re-run the same model on the same dataset.</t>
        </is>
      </c>
    </row>
    <row r="22">
      <c r="A22" s="35" t="n">
        <v>10</v>
      </c>
      <c r="B22" s="45" t="inlineStr">
        <is>
          <t>Glossary</t>
        </is>
      </c>
      <c r="C22" s="40" t="inlineStr">
        <is>
          <t>Plain-English definitions for every statistical term used in this workbook.</t>
        </is>
      </c>
    </row>
  </sheetData>
  <mergeCells count="2">
    <mergeCell ref="A5:C5"/>
    <mergeCell ref="A8:C8"/>
  </mergeCells>
  <hyperlinks>
    <hyperlink xmlns:r="http://schemas.openxmlformats.org/officeDocument/2006/relationships" ref="B12" location="'Executive_Summary'!A1" display="Executive Summary" r:id="rId1"/>
    <hyperlink xmlns:r="http://schemas.openxmlformats.org/officeDocument/2006/relationships" ref="B13" location="'Accuracy'!A1" display="Accuracy" r:id="rId2"/>
    <hyperlink xmlns:r="http://schemas.openxmlformats.org/officeDocument/2006/relationships" ref="B14" location="'Per_Category_Accuracy'!A1" display="Per Category Accuracy" r:id="rId3"/>
    <hyperlink xmlns:r="http://schemas.openxmlformats.org/officeDocument/2006/relationships" ref="B15" location="'Efficiency'!A1" display="Efficiency" r:id="rId4"/>
    <hyperlink xmlns:r="http://schemas.openxmlformats.org/officeDocument/2006/relationships" ref="B16" location="'Failure_Modes'!A1" display="Failure Modes" r:id="rId5"/>
    <hyperlink xmlns:r="http://schemas.openxmlformats.org/officeDocument/2006/relationships" ref="B17" location="'Metric_Summary'!A1" display="Metric Summary" r:id="rId6"/>
    <hyperlink xmlns:r="http://schemas.openxmlformats.org/officeDocument/2006/relationships" ref="B18" location="'McNemar'!A1" display="McNemar" r:id="rId7"/>
    <hyperlink xmlns:r="http://schemas.openxmlformats.org/officeDocument/2006/relationships" ref="B19" location="'Metric_Comparison'!A1" display="Metric Comparison" r:id="rId8"/>
    <hyperlink xmlns:r="http://schemas.openxmlformats.org/officeDocument/2006/relationships" ref="B20" location="'Run_Variance'!A1" display="Run Variance" r:id="rId9"/>
    <hyperlink xmlns:r="http://schemas.openxmlformats.org/officeDocument/2006/relationships" ref="B21" location="'Glossary'!A1" display="Glossary"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R7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5" min="1" max="14"/>
    <col width="28" customWidth="1" style="35" min="15" max="15"/>
    <col width="16" customWidth="1" style="35" min="16" max="19"/>
  </cols>
  <sheetData>
    <row r="1" ht="27.75" customHeight="1" s="36">
      <c r="A1" s="46" t="inlineStr">
        <is>
          <t>BrainBench — Visual Dashboard</t>
        </is>
      </c>
    </row>
    <row r="2" ht="15" customHeight="1" s="36">
      <c r="A2" s="47" t="inlineStr">
        <is>
          <t>Gemma3:4b vs Phi3:3.8b vs Qwen3:4b across three math datasets.</t>
        </is>
      </c>
    </row>
    <row r="3" ht="15" customHeight="1" s="36">
      <c r="A3" s="48" t="inlineStr">
        <is>
          <t>● Gemma3:4b (blue)    ● Phi3:3.8b (orange)    ● Qwen3:4b (green)</t>
        </is>
      </c>
    </row>
    <row r="5" ht="15" customHeight="1" s="36">
      <c r="O5" s="49" t="inlineStr">
        <is>
          <t>Accuracy</t>
        </is>
      </c>
    </row>
    <row r="6" ht="15" customHeight="1" s="36">
      <c r="O6" s="50" t="inlineStr">
        <is>
          <t>Dataset</t>
        </is>
      </c>
      <c r="P6" s="50" t="inlineStr">
        <is>
          <t>Gemma3:4b</t>
        </is>
      </c>
      <c r="Q6" s="50" t="inlineStr">
        <is>
          <t>Phi3:3.8b</t>
        </is>
      </c>
      <c r="R6" s="50" t="inlineStr">
        <is>
          <t>Qwen3:4b</t>
        </is>
      </c>
    </row>
    <row r="7" ht="15" customHeight="1" s="36">
      <c r="O7" s="51" t="inlineStr">
        <is>
          <t>Adv Probability &amp; Statistics</t>
        </is>
      </c>
      <c r="P7" s="52">
        <f>Accuracy!E6</f>
        <v/>
      </c>
      <c r="Q7" s="52">
        <f>Accuracy!E7</f>
        <v/>
      </c>
      <c r="R7" s="52">
        <f>Accuracy!E8</f>
        <v/>
      </c>
    </row>
    <row r="8" ht="15" customHeight="1" s="36">
      <c r="O8" s="51" t="inlineStr">
        <is>
          <t>Calculus I</t>
        </is>
      </c>
      <c r="P8" s="52">
        <f>Accuracy!E9</f>
        <v/>
      </c>
      <c r="Q8" s="52">
        <f>Accuracy!E10</f>
        <v/>
      </c>
      <c r="R8" s="52">
        <f>Accuracy!E11</f>
        <v/>
      </c>
    </row>
    <row r="9" ht="15" customHeight="1" s="36">
      <c r="O9" s="51" t="inlineStr">
        <is>
          <t>Grade 8 Math</t>
        </is>
      </c>
      <c r="P9" s="52">
        <f>Accuracy!E12</f>
        <v/>
      </c>
      <c r="Q9" s="52">
        <f>Accuracy!E13</f>
        <v/>
      </c>
      <c r="R9" s="52">
        <f>Accuracy!E14</f>
        <v/>
      </c>
    </row>
    <row r="11" ht="15" customHeight="1" s="36">
      <c r="O11" s="49" t="inlineStr">
        <is>
          <t>Correct per Wh</t>
        </is>
      </c>
    </row>
    <row r="12" ht="15" customHeight="1" s="36">
      <c r="O12" s="50" t="inlineStr">
        <is>
          <t>Dataset</t>
        </is>
      </c>
      <c r="P12" s="50" t="inlineStr">
        <is>
          <t>Gemma3:4b</t>
        </is>
      </c>
      <c r="Q12" s="50" t="inlineStr">
        <is>
          <t>Phi3:3.8b</t>
        </is>
      </c>
      <c r="R12" s="50" t="inlineStr">
        <is>
          <t>Qwen3:4b</t>
        </is>
      </c>
    </row>
    <row r="13" ht="15" customHeight="1" s="36">
      <c r="O13" s="51" t="inlineStr">
        <is>
          <t>Adv Probability &amp; Statistics</t>
        </is>
      </c>
      <c r="P13" s="53">
        <f>Efficiency!I6</f>
        <v/>
      </c>
      <c r="Q13" s="53">
        <f>Efficiency!I7</f>
        <v/>
      </c>
      <c r="R13" s="53">
        <f>Efficiency!I8</f>
        <v/>
      </c>
    </row>
    <row r="14" ht="15" customHeight="1" s="36">
      <c r="O14" s="51" t="inlineStr">
        <is>
          <t>Calculus I</t>
        </is>
      </c>
      <c r="P14" s="53">
        <f>Efficiency!I9</f>
        <v/>
      </c>
      <c r="Q14" s="53">
        <f>Efficiency!I10</f>
        <v/>
      </c>
      <c r="R14" s="53">
        <f>Efficiency!I11</f>
        <v/>
      </c>
    </row>
    <row r="15" ht="15" customHeight="1" s="36">
      <c r="O15" s="51" t="inlineStr">
        <is>
          <t>Grade 8 Math</t>
        </is>
      </c>
      <c r="P15" s="53">
        <f>Efficiency!I12</f>
        <v/>
      </c>
      <c r="Q15" s="53">
        <f>Efficiency!I13</f>
        <v/>
      </c>
      <c r="R15" s="53">
        <f>Efficiency!I14</f>
        <v/>
      </c>
    </row>
    <row r="17" ht="15" customHeight="1" s="36">
      <c r="O17" s="49" t="inlineStr">
        <is>
          <t>Correct per 1k Tokens</t>
        </is>
      </c>
    </row>
    <row r="18" ht="15" customHeight="1" s="36">
      <c r="O18" s="50" t="inlineStr">
        <is>
          <t>Dataset</t>
        </is>
      </c>
      <c r="P18" s="50" t="inlineStr">
        <is>
          <t>Gemma3:4b</t>
        </is>
      </c>
      <c r="Q18" s="50" t="inlineStr">
        <is>
          <t>Phi3:3.8b</t>
        </is>
      </c>
      <c r="R18" s="50" t="inlineStr">
        <is>
          <t>Qwen3:4b</t>
        </is>
      </c>
    </row>
    <row r="19" ht="15" customHeight="1" s="36">
      <c r="O19" s="51" t="inlineStr">
        <is>
          <t>Adv Probability &amp; Statistics</t>
        </is>
      </c>
      <c r="P19" s="53">
        <f>Efficiency!J6</f>
        <v/>
      </c>
      <c r="Q19" s="53">
        <f>Efficiency!J7</f>
        <v/>
      </c>
      <c r="R19" s="53">
        <f>Efficiency!J8</f>
        <v/>
      </c>
    </row>
    <row r="20" ht="15" customHeight="1" s="36">
      <c r="O20" s="51" t="inlineStr">
        <is>
          <t>Calculus I</t>
        </is>
      </c>
      <c r="P20" s="53">
        <f>Efficiency!J9</f>
        <v/>
      </c>
      <c r="Q20" s="53">
        <f>Efficiency!J10</f>
        <v/>
      </c>
      <c r="R20" s="53">
        <f>Efficiency!J11</f>
        <v/>
      </c>
    </row>
    <row r="21" ht="15" customHeight="1" s="36">
      <c r="O21" s="51" t="inlineStr">
        <is>
          <t>Grade 8 Math</t>
        </is>
      </c>
      <c r="P21" s="53">
        <f>Efficiency!J12</f>
        <v/>
      </c>
      <c r="Q21" s="53">
        <f>Efficiency!J13</f>
        <v/>
      </c>
      <c r="R21" s="53">
        <f>Efficiency!J14</f>
        <v/>
      </c>
    </row>
    <row r="23" ht="15" customHeight="1" s="36">
      <c r="O23" s="49" t="inlineStr">
        <is>
          <t>Energy per Question (Wh)</t>
        </is>
      </c>
    </row>
    <row r="24" ht="15" customHeight="1" s="36">
      <c r="O24" s="50" t="inlineStr">
        <is>
          <t>Dataset</t>
        </is>
      </c>
      <c r="P24" s="50" t="inlineStr">
        <is>
          <t>Gemma3:4b</t>
        </is>
      </c>
      <c r="Q24" s="50" t="inlineStr">
        <is>
          <t>Phi3:3.8b</t>
        </is>
      </c>
      <c r="R24" s="50" t="inlineStr">
        <is>
          <t>Qwen3:4b</t>
        </is>
      </c>
    </row>
    <row r="25" ht="15" customHeight="1" s="36">
      <c r="O25" s="51" t="inlineStr">
        <is>
          <t>Adv Probability &amp; Statistics</t>
        </is>
      </c>
      <c r="P25" s="54">
        <f>Efficiency!L6</f>
        <v/>
      </c>
      <c r="Q25" s="54">
        <f>Efficiency!L7</f>
        <v/>
      </c>
      <c r="R25" s="54">
        <f>Efficiency!L8</f>
        <v/>
      </c>
    </row>
    <row r="26" ht="15" customHeight="1" s="36">
      <c r="O26" s="51" t="inlineStr">
        <is>
          <t>Calculus I</t>
        </is>
      </c>
      <c r="P26" s="54">
        <f>Efficiency!L9</f>
        <v/>
      </c>
      <c r="Q26" s="54">
        <f>Efficiency!L10</f>
        <v/>
      </c>
      <c r="R26" s="54">
        <f>Efficiency!L11</f>
        <v/>
      </c>
    </row>
    <row r="27" ht="15" customHeight="1" s="36">
      <c r="O27" s="51" t="inlineStr">
        <is>
          <t>Grade 8 Math</t>
        </is>
      </c>
      <c r="P27" s="54">
        <f>Efficiency!L12</f>
        <v/>
      </c>
      <c r="Q27" s="54">
        <f>Efficiency!L13</f>
        <v/>
      </c>
      <c r="R27" s="54">
        <f>Efficiency!L14</f>
        <v/>
      </c>
    </row>
    <row r="29" ht="15" customHeight="1" s="36">
      <c r="O29" s="49" t="inlineStr">
        <is>
          <t>Wrong Answer Rate</t>
        </is>
      </c>
    </row>
    <row r="30" ht="15" customHeight="1" s="36">
      <c r="O30" s="50" t="inlineStr">
        <is>
          <t>Dataset</t>
        </is>
      </c>
      <c r="P30" s="50" t="inlineStr">
        <is>
          <t>Gemma3:4b</t>
        </is>
      </c>
      <c r="Q30" s="50" t="inlineStr">
        <is>
          <t>Phi3:3.8b</t>
        </is>
      </c>
      <c r="R30" s="50" t="inlineStr">
        <is>
          <t>Qwen3:4b</t>
        </is>
      </c>
    </row>
    <row r="31" ht="15" customHeight="1" s="36">
      <c r="O31" s="51" t="inlineStr">
        <is>
          <t>Adv Probability &amp; Statistics</t>
        </is>
      </c>
      <c r="P31" s="52">
        <f>Failure_Modes!J6</f>
        <v/>
      </c>
      <c r="Q31" s="52">
        <f>Failure_Modes!J7</f>
        <v/>
      </c>
      <c r="R31" s="52">
        <f>Failure_Modes!J8</f>
        <v/>
      </c>
    </row>
    <row r="32" ht="15" customHeight="1" s="36">
      <c r="O32" s="51" t="inlineStr">
        <is>
          <t>Calculus I</t>
        </is>
      </c>
      <c r="P32" s="52">
        <f>Failure_Modes!J9</f>
        <v/>
      </c>
      <c r="Q32" s="52">
        <f>Failure_Modes!J10</f>
        <v/>
      </c>
      <c r="R32" s="52">
        <f>Failure_Modes!J11</f>
        <v/>
      </c>
    </row>
    <row r="33" ht="15" customHeight="1" s="36">
      <c r="O33" s="51" t="inlineStr">
        <is>
          <t>Grade 8 Math</t>
        </is>
      </c>
      <c r="P33" s="52">
        <f>Failure_Modes!J12</f>
        <v/>
      </c>
      <c r="Q33" s="52">
        <f>Failure_Modes!J13</f>
        <v/>
      </c>
      <c r="R33" s="52">
        <f>Failure_Modes!J14</f>
        <v/>
      </c>
    </row>
    <row r="35" ht="15" customHeight="1" s="36">
      <c r="O35" s="49" t="inlineStr">
        <is>
          <t>Tokens per Question (avg)</t>
        </is>
      </c>
    </row>
    <row r="36" ht="15" customHeight="1" s="36">
      <c r="O36" s="50" t="inlineStr">
        <is>
          <t>Dataset</t>
        </is>
      </c>
      <c r="P36" s="50" t="inlineStr">
        <is>
          <t>Gemma3:4b</t>
        </is>
      </c>
      <c r="Q36" s="50" t="inlineStr">
        <is>
          <t>Phi3:3.8b</t>
        </is>
      </c>
      <c r="R36" s="50" t="inlineStr">
        <is>
          <t>Qwen3:4b</t>
        </is>
      </c>
    </row>
    <row r="37" ht="15" customHeight="1" s="36">
      <c r="O37" s="51" t="inlineStr">
        <is>
          <t>Adv Probability &amp; Statistics</t>
        </is>
      </c>
      <c r="P37" s="55">
        <f>Efficiency!M6</f>
        <v/>
      </c>
      <c r="Q37" s="55">
        <f>Efficiency!M7</f>
        <v/>
      </c>
      <c r="R37" s="55">
        <f>Efficiency!M8</f>
        <v/>
      </c>
    </row>
    <row r="38" ht="15" customHeight="1" s="36">
      <c r="O38" s="51" t="inlineStr">
        <is>
          <t>Calculus I</t>
        </is>
      </c>
      <c r="P38" s="55">
        <f>Efficiency!M9</f>
        <v/>
      </c>
      <c r="Q38" s="55">
        <f>Efficiency!M10</f>
        <v/>
      </c>
      <c r="R38" s="55">
        <f>Efficiency!M11</f>
        <v/>
      </c>
    </row>
    <row r="39" ht="15" customHeight="1" s="36">
      <c r="O39" s="51" t="inlineStr">
        <is>
          <t>Grade 8 Math</t>
        </is>
      </c>
      <c r="P39" s="55">
        <f>Efficiency!M12</f>
        <v/>
      </c>
      <c r="Q39" s="55">
        <f>Efficiency!M13</f>
        <v/>
      </c>
      <c r="R39" s="55">
        <f>Efficiency!M14</f>
        <v/>
      </c>
    </row>
    <row r="41" ht="15" customHeight="1" s="36">
      <c r="O41" s="49" t="inlineStr">
        <is>
          <t>Total Time (s)</t>
        </is>
      </c>
    </row>
    <row r="42" ht="15" customHeight="1" s="36">
      <c r="O42" s="50" t="inlineStr">
        <is>
          <t>Dataset</t>
        </is>
      </c>
      <c r="P42" s="50" t="inlineStr">
        <is>
          <t>Gemma3:4b</t>
        </is>
      </c>
      <c r="Q42" s="50" t="inlineStr">
        <is>
          <t>Phi3:3.8b</t>
        </is>
      </c>
      <c r="R42" s="50" t="inlineStr">
        <is>
          <t>Qwen3:4b</t>
        </is>
      </c>
    </row>
    <row r="43" ht="15" customHeight="1" s="36">
      <c r="O43" s="51" t="inlineStr">
        <is>
          <t>Adv Probability &amp; Statistics</t>
        </is>
      </c>
      <c r="P43" s="55">
        <f>Efficiency!H6</f>
        <v/>
      </c>
      <c r="Q43" s="55">
        <f>Efficiency!H7</f>
        <v/>
      </c>
      <c r="R43" s="55">
        <f>Efficiency!H8</f>
        <v/>
      </c>
    </row>
    <row r="44" ht="15" customHeight="1" s="36">
      <c r="O44" s="51" t="inlineStr">
        <is>
          <t>Calculus I</t>
        </is>
      </c>
      <c r="P44" s="55">
        <f>Efficiency!H9</f>
        <v/>
      </c>
      <c r="Q44" s="55">
        <f>Efficiency!H10</f>
        <v/>
      </c>
      <c r="R44" s="55">
        <f>Efficiency!H11</f>
        <v/>
      </c>
    </row>
    <row r="45" ht="15" customHeight="1" s="36">
      <c r="O45" s="51" t="inlineStr">
        <is>
          <t>Grade 8 Math</t>
        </is>
      </c>
      <c r="P45" s="55">
        <f>Efficiency!H12</f>
        <v/>
      </c>
      <c r="Q45" s="55">
        <f>Efficiency!H13</f>
        <v/>
      </c>
      <c r="R45" s="55">
        <f>Efficiency!H14</f>
        <v/>
      </c>
    </row>
    <row r="47" ht="15" customHeight="1" s="36">
      <c r="O47" s="49" t="inlineStr">
        <is>
          <t>Run Variance — Mean Accuracy</t>
        </is>
      </c>
    </row>
    <row r="48" ht="15" customHeight="1" s="36">
      <c r="O48" s="50" t="inlineStr">
        <is>
          <t>Dataset</t>
        </is>
      </c>
      <c r="P48" s="50" t="inlineStr">
        <is>
          <t>Gemma3:4b</t>
        </is>
      </c>
      <c r="Q48" s="50" t="inlineStr">
        <is>
          <t>Phi3:3.8b</t>
        </is>
      </c>
      <c r="R48" s="50" t="inlineStr">
        <is>
          <t>Qwen3:4b</t>
        </is>
      </c>
    </row>
    <row r="49" ht="15" customHeight="1" s="36">
      <c r="O49" s="51" t="inlineStr">
        <is>
          <t>Adv Probability &amp; Statistics</t>
        </is>
      </c>
      <c r="P49" s="52">
        <f>Run_Variance!D6</f>
        <v/>
      </c>
      <c r="Q49" s="52">
        <f>Run_Variance!D7</f>
        <v/>
      </c>
      <c r="R49" s="52">
        <f>Run_Variance!D8</f>
        <v/>
      </c>
    </row>
    <row r="50" ht="15" customHeight="1" s="36">
      <c r="O50" s="51" t="inlineStr">
        <is>
          <t>Calculus I</t>
        </is>
      </c>
      <c r="P50" s="52">
        <f>Run_Variance!D9</f>
        <v/>
      </c>
      <c r="Q50" s="52">
        <f>Run_Variance!D10</f>
        <v/>
      </c>
      <c r="R50" s="52">
        <f>Run_Variance!D11</f>
        <v/>
      </c>
    </row>
    <row r="51" ht="15" customHeight="1" s="36">
      <c r="O51" s="51" t="inlineStr">
        <is>
          <t>Grade 8 Math</t>
        </is>
      </c>
      <c r="P51" s="52">
        <f>Run_Variance!D12</f>
        <v/>
      </c>
      <c r="Q51" s="52">
        <f>Run_Variance!D13</f>
        <v/>
      </c>
      <c r="R51" s="52">
        <f>Run_Variance!D14</f>
        <v/>
      </c>
    </row>
    <row r="53" ht="15" customHeight="1" s="36">
      <c r="O53" s="49" t="inlineStr">
        <is>
          <t>Run Variance — Accuracy SD</t>
        </is>
      </c>
    </row>
    <row r="54" ht="15" customHeight="1" s="36">
      <c r="O54" s="50" t="inlineStr">
        <is>
          <t>Dataset</t>
        </is>
      </c>
      <c r="P54" s="50" t="inlineStr">
        <is>
          <t>Gemma3:4b</t>
        </is>
      </c>
      <c r="Q54" s="50" t="inlineStr">
        <is>
          <t>Phi3:3.8b</t>
        </is>
      </c>
      <c r="R54" s="50" t="inlineStr">
        <is>
          <t>Qwen3:4b</t>
        </is>
      </c>
    </row>
    <row r="55" ht="15" customHeight="1" s="36">
      <c r="O55" s="51" t="inlineStr">
        <is>
          <t>Adv Probability &amp; Statistics</t>
        </is>
      </c>
      <c r="P55" s="56">
        <f>Run_Variance!E6</f>
        <v/>
      </c>
      <c r="Q55" s="56">
        <f>Run_Variance!E7</f>
        <v/>
      </c>
      <c r="R55" s="56">
        <f>Run_Variance!E8</f>
        <v/>
      </c>
    </row>
    <row r="56" ht="15" customHeight="1" s="36">
      <c r="O56" s="51" t="inlineStr">
        <is>
          <t>Calculus I</t>
        </is>
      </c>
      <c r="P56" s="56">
        <f>Run_Variance!E9</f>
        <v/>
      </c>
      <c r="Q56" s="56">
        <f>Run_Variance!E10</f>
        <v/>
      </c>
      <c r="R56" s="56">
        <f>Run_Variance!E11</f>
        <v/>
      </c>
    </row>
    <row r="57" ht="15" customHeight="1" s="36">
      <c r="O57" s="51" t="inlineStr">
        <is>
          <t>Grade 8 Math</t>
        </is>
      </c>
      <c r="P57" s="56">
        <f>Run_Variance!E12</f>
        <v/>
      </c>
      <c r="Q57" s="56">
        <f>Run_Variance!E13</f>
        <v/>
      </c>
      <c r="R57" s="56">
        <f>Run_Variance!E14</f>
        <v/>
      </c>
    </row>
    <row r="59" ht="15" customHeight="1" s="36">
      <c r="O59" s="49" t="inlineStr">
        <is>
          <t>Grade 8 Math Accuracy by Category</t>
        </is>
      </c>
    </row>
    <row r="60" ht="15" customHeight="1" s="36">
      <c r="O60" s="50" t="inlineStr">
        <is>
          <t>Category</t>
        </is>
      </c>
      <c r="P60" s="50" t="inlineStr">
        <is>
          <t>Gemma3:4b</t>
        </is>
      </c>
      <c r="Q60" s="50" t="inlineStr">
        <is>
          <t>Phi3:3.8b</t>
        </is>
      </c>
      <c r="R60" s="50" t="inlineStr">
        <is>
          <t>Qwen3:4b</t>
        </is>
      </c>
    </row>
    <row r="61" ht="15" customHeight="1" s="36">
      <c r="O61" s="57" t="inlineStr">
        <is>
          <t>Expressions &amp; Equations</t>
        </is>
      </c>
      <c r="P61" s="58">
        <f>Per_Category_Accuracy!F12</f>
        <v/>
      </c>
      <c r="Q61" s="58">
        <f>Per_Category_Accuracy!F13</f>
        <v/>
      </c>
      <c r="R61" s="58">
        <f>Per_Category_Accuracy!F14</f>
        <v/>
      </c>
    </row>
    <row r="62" ht="15" customHeight="1" s="36">
      <c r="O62" s="57" t="inlineStr">
        <is>
          <t>Functions</t>
        </is>
      </c>
      <c r="P62" s="58">
        <f>Per_Category_Accuracy!F15</f>
        <v/>
      </c>
      <c r="Q62" s="58">
        <f>Per_Category_Accuracy!F16</f>
        <v/>
      </c>
      <c r="R62" s="58">
        <f>Per_Category_Accuracy!F17</f>
        <v/>
      </c>
    </row>
    <row r="63" ht="15" customHeight="1" s="36">
      <c r="O63" s="57" t="inlineStr">
        <is>
          <t>Geometry</t>
        </is>
      </c>
      <c r="P63" s="58">
        <f>Per_Category_Accuracy!F18</f>
        <v/>
      </c>
      <c r="Q63" s="58">
        <f>Per_Category_Accuracy!F19</f>
        <v/>
      </c>
      <c r="R63" s="58">
        <f>Per_Category_Accuracy!F20</f>
        <v/>
      </c>
    </row>
    <row r="64" ht="15" customHeight="1" s="36">
      <c r="O64" s="57" t="inlineStr">
        <is>
          <t>Statistics &amp; Probability</t>
        </is>
      </c>
      <c r="P64" s="58">
        <f>Per_Category_Accuracy!F21</f>
        <v/>
      </c>
      <c r="Q64" s="58">
        <f>Per_Category_Accuracy!F22</f>
        <v/>
      </c>
      <c r="R64" s="58">
        <f>Per_Category_Accuracy!F23</f>
        <v/>
      </c>
    </row>
    <row r="65" ht="15" customHeight="1" s="36">
      <c r="O65" s="57" t="inlineStr">
        <is>
          <t>The Number System</t>
        </is>
      </c>
      <c r="P65" s="58">
        <f>Per_Category_Accuracy!F24</f>
        <v/>
      </c>
      <c r="Q65" s="58">
        <f>Per_Category_Accuracy!F25</f>
        <v/>
      </c>
      <c r="R65" s="58">
        <f>Per_Category_Accuracy!F26</f>
        <v/>
      </c>
    </row>
    <row r="67" ht="15" customHeight="1" s="36">
      <c r="O67" s="49" t="inlineStr">
        <is>
          <t>Accuracy vs Efficiency Tradeoff</t>
        </is>
      </c>
    </row>
    <row r="68" ht="15" customHeight="1" s="36">
      <c r="O68" s="50" t="inlineStr">
        <is>
          <t>Label</t>
        </is>
      </c>
      <c r="P68" s="50" t="inlineStr">
        <is>
          <t>Accuracy</t>
        </is>
      </c>
      <c r="Q68" s="50" t="inlineStr">
        <is>
          <t>Correct/Wh</t>
        </is>
      </c>
      <c r="R68" s="50" t="inlineStr">
        <is>
          <t>Model</t>
        </is>
      </c>
    </row>
    <row r="69" ht="15" customHeight="1" s="36">
      <c r="O69" s="59" t="inlineStr">
        <is>
          <t xml:space="preserve">Adv Probability &amp; </t>
        </is>
      </c>
      <c r="P69" s="60">
        <f>Accuracy!E6</f>
        <v/>
      </c>
      <c r="Q69" s="61">
        <f>Efficiency!I6</f>
        <v/>
      </c>
      <c r="R69" s="59" t="inlineStr">
        <is>
          <t>Gemma3:4b</t>
        </is>
      </c>
    </row>
    <row r="70" ht="15" customHeight="1" s="36">
      <c r="O70" s="59" t="inlineStr">
        <is>
          <t>Calculus I</t>
        </is>
      </c>
      <c r="P70" s="60">
        <f>Accuracy!E9</f>
        <v/>
      </c>
      <c r="Q70" s="61">
        <f>Efficiency!I9</f>
        <v/>
      </c>
      <c r="R70" s="59" t="inlineStr">
        <is>
          <t>Gemma3:4b</t>
        </is>
      </c>
    </row>
    <row r="71" ht="15" customHeight="1" s="36">
      <c r="O71" s="59" t="inlineStr">
        <is>
          <t>Grade 8 Math</t>
        </is>
      </c>
      <c r="P71" s="60">
        <f>Accuracy!E12</f>
        <v/>
      </c>
      <c r="Q71" s="61">
        <f>Efficiency!I12</f>
        <v/>
      </c>
      <c r="R71" s="59" t="inlineStr">
        <is>
          <t>Gemma3:4b</t>
        </is>
      </c>
    </row>
    <row r="72" ht="15" customHeight="1" s="36">
      <c r="O72" s="59" t="inlineStr">
        <is>
          <t xml:space="preserve">Adv Probability &amp; </t>
        </is>
      </c>
      <c r="P72" s="60">
        <f>Accuracy!E7</f>
        <v/>
      </c>
      <c r="Q72" s="61">
        <f>Efficiency!I7</f>
        <v/>
      </c>
      <c r="R72" s="59" t="inlineStr">
        <is>
          <t>Phi3:3.8b</t>
        </is>
      </c>
    </row>
    <row r="73" ht="15" customHeight="1" s="36">
      <c r="O73" s="59" t="inlineStr">
        <is>
          <t>Calculus I</t>
        </is>
      </c>
      <c r="P73" s="60">
        <f>Accuracy!E10</f>
        <v/>
      </c>
      <c r="Q73" s="61">
        <f>Efficiency!I10</f>
        <v/>
      </c>
      <c r="R73" s="59" t="inlineStr">
        <is>
          <t>Phi3:3.8b</t>
        </is>
      </c>
    </row>
    <row r="74" ht="15" customHeight="1" s="36">
      <c r="O74" s="59" t="inlineStr">
        <is>
          <t>Grade 8 Math</t>
        </is>
      </c>
      <c r="P74" s="60">
        <f>Accuracy!E13</f>
        <v/>
      </c>
      <c r="Q74" s="61">
        <f>Efficiency!I13</f>
        <v/>
      </c>
      <c r="R74" s="59" t="inlineStr">
        <is>
          <t>Phi3:3.8b</t>
        </is>
      </c>
    </row>
    <row r="75" ht="15" customHeight="1" s="36">
      <c r="O75" s="59" t="inlineStr">
        <is>
          <t xml:space="preserve">Adv Probability &amp; </t>
        </is>
      </c>
      <c r="P75" s="60">
        <f>Accuracy!E8</f>
        <v/>
      </c>
      <c r="Q75" s="61">
        <f>Efficiency!I8</f>
        <v/>
      </c>
      <c r="R75" s="59" t="inlineStr">
        <is>
          <t>Qwen3:4b</t>
        </is>
      </c>
    </row>
    <row r="76" ht="15" customHeight="1" s="36">
      <c r="O76" s="59" t="inlineStr">
        <is>
          <t>Calculus I</t>
        </is>
      </c>
      <c r="P76" s="60">
        <f>Accuracy!E11</f>
        <v/>
      </c>
      <c r="Q76" s="61">
        <f>Efficiency!I11</f>
        <v/>
      </c>
      <c r="R76" s="59" t="inlineStr">
        <is>
          <t>Qwen3:4b</t>
        </is>
      </c>
    </row>
    <row r="77" ht="15" customHeight="1" s="36">
      <c r="O77" s="59" t="inlineStr">
        <is>
          <t>Grade 8 Math</t>
        </is>
      </c>
      <c r="P77" s="60">
        <f>Accuracy!E14</f>
        <v/>
      </c>
      <c r="Q77" s="61">
        <f>Efficiency!I14</f>
        <v/>
      </c>
      <c r="R77" s="59" t="inlineStr">
        <is>
          <t>Qwen3:4b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5" min="1" max="1"/>
    <col width="23" customWidth="1" style="35" min="2" max="2"/>
    <col width="20" customWidth="1" style="35" min="3" max="3"/>
    <col width="25" customWidth="1" style="35" min="4" max="4"/>
    <col width="19" customWidth="1" style="35" min="5" max="5"/>
    <col width="34" customWidth="1" style="35" min="6" max="6"/>
    <col width="80" customWidth="1" style="35" min="7" max="7"/>
  </cols>
  <sheetData>
    <row r="1" ht="21.75" customHeight="1" s="36">
      <c r="A1" s="62" t="inlineStr">
        <is>
          <t>Executive Summary</t>
        </is>
      </c>
    </row>
    <row r="2" ht="30" customHeight="1" s="36">
      <c r="A2" s="63" t="inlineStr">
        <is>
          <t>One line per dataset: the winning model, the most energy-efficient model, and how many pairs of models were genuinely different.</t>
        </is>
      </c>
    </row>
    <row r="3" ht="48" customHeight="1" s="36">
      <c r="A3" s="64" t="inlineStr">
        <is>
          <t>How to read: Start here. Read the 'Takeaway' column — it is a plain-English summary. Everything else in the workbook is the evidence behind these sentences.</t>
        </is>
      </c>
    </row>
    <row r="5" ht="15" customHeight="1" s="36">
      <c r="A5" s="65" t="inlineStr">
        <is>
          <t>Dataset</t>
        </is>
      </c>
      <c r="B5" s="65" t="inlineStr">
        <is>
          <t>Best Model (Accuracy)</t>
        </is>
      </c>
      <c r="C5" s="65" t="inlineStr">
        <is>
          <t>Accuracy</t>
        </is>
      </c>
      <c r="D5" s="65" t="inlineStr">
        <is>
          <t>Best Model (Correct/Wh)</t>
        </is>
      </c>
      <c r="E5" s="65" t="inlineStr">
        <is>
          <t>Correct per Wh</t>
        </is>
      </c>
      <c r="F5" s="65" t="inlineStr">
        <is>
          <t>McNemar Significant Pairs (Holm)</t>
        </is>
      </c>
      <c r="G5" s="65" t="inlineStr">
        <is>
          <t>Takeaway</t>
        </is>
      </c>
    </row>
    <row r="6" ht="28.35" customHeight="1" s="36">
      <c r="A6" s="35" t="inlineStr">
        <is>
          <t>Adv Probability &amp; Statistics</t>
        </is>
      </c>
      <c r="B6" s="35" t="inlineStr">
        <is>
          <t>Qwen3:4b</t>
        </is>
      </c>
      <c r="C6" s="66" t="n">
        <v>0.975</v>
      </c>
      <c r="D6" s="35" t="inlineStr">
        <is>
          <t>Gemma3:4b</t>
        </is>
      </c>
      <c r="E6" s="67" t="n">
        <v>6.52515067485026</v>
      </c>
      <c r="F6" s="35" t="inlineStr">
        <is>
          <t>3/3</t>
        </is>
      </c>
      <c r="G6" s="40" t="inlineStr">
        <is>
          <t>Qwen3:4b is the most accurate (97.5%). Gemma3:4b is the most energy-efficient (6.53 correct/Wh). 3 of 3 model pairs differ significantly in accuracy.</t>
        </is>
      </c>
    </row>
    <row r="7" ht="28.35" customHeight="1" s="36">
      <c r="A7" s="35" t="inlineStr">
        <is>
          <t>Calculus I</t>
        </is>
      </c>
      <c r="B7" s="35" t="inlineStr">
        <is>
          <t>Gemma3:4b</t>
        </is>
      </c>
      <c r="C7" s="66" t="n">
        <v>0.863636363636364</v>
      </c>
      <c r="D7" s="35" t="inlineStr">
        <is>
          <t>Gemma3:4b</t>
        </is>
      </c>
      <c r="E7" s="67" t="n">
        <v>4.44691648332888</v>
      </c>
      <c r="F7" s="35" t="inlineStr">
        <is>
          <t>3/3</t>
        </is>
      </c>
      <c r="G7" s="40" t="inlineStr">
        <is>
          <t>Gemma3:4b is the most accurate (86.4%). Gemma3:4b is the most energy-efficient (4.45 correct/Wh). 3 of 3 model pairs differ significantly in accuracy.</t>
        </is>
      </c>
    </row>
    <row r="8" ht="28.35" customHeight="1" s="36">
      <c r="A8" s="35" t="inlineStr">
        <is>
          <t>Grade 8 Math</t>
        </is>
      </c>
      <c r="B8" s="35" t="inlineStr">
        <is>
          <t>Qwen3:4b</t>
        </is>
      </c>
      <c r="C8" s="66" t="n">
        <v>0.7826086956521739</v>
      </c>
      <c r="D8" s="35" t="inlineStr">
        <is>
          <t>Gemma3:4b</t>
        </is>
      </c>
      <c r="E8" s="67" t="n">
        <v>4.83754199486887</v>
      </c>
      <c r="F8" s="35" t="inlineStr">
        <is>
          <t>3/3</t>
        </is>
      </c>
      <c r="G8" s="40" t="inlineStr">
        <is>
          <t>Qwen3:4b is the most accurate (78.3%). Gemma3:4b is the most energy-efficient (4.84 correct/Wh). 3 of 3 model pairs differ significantly in accuracy.</t>
        </is>
      </c>
    </row>
  </sheetData>
  <mergeCells count="3">
    <mergeCell ref="A3:G3"/>
    <mergeCell ref="A2:G2"/>
    <mergeCell ref="A1:G1"/>
  </mergeCells>
  <conditionalFormatting sqref="C6:C8">
    <cfRule type="colorScale" priority="2">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10" customWidth="1" style="35" min="3" max="4"/>
    <col width="21" customWidth="1" style="35" min="5" max="7"/>
  </cols>
  <sheetData>
    <row r="1" ht="21.75" customHeight="1" s="36">
      <c r="A1" s="62" t="inlineStr">
        <is>
          <t>Accuracy</t>
        </is>
      </c>
    </row>
    <row r="2" ht="30" customHeight="1" s="36">
      <c r="A2" s="63" t="inlineStr">
        <is>
          <t>How often each model got the right answer on each dataset, with a 95% confidence range.</t>
        </is>
      </c>
    </row>
    <row r="3" ht="48" customHeight="1" s="36">
      <c r="A3" s="64" t="inlineStr">
        <is>
          <t>How to read: 'Accuracy' is the score (higher is better). 'Wilson 95% CI Lower/Upper' is the range the true score likely falls in — wider = less certain (usually because N is small). If two models' CIs don't overlap, their scores probably really are different.</t>
        </is>
      </c>
    </row>
    <row r="5" ht="15" customHeight="1" s="36">
      <c r="A5" s="65" t="inlineStr">
        <is>
          <t>Model</t>
        </is>
      </c>
      <c r="B5" s="65" t="inlineStr">
        <is>
          <t>Dataset</t>
        </is>
      </c>
      <c r="C5" s="65" t="inlineStr">
        <is>
          <t>N</t>
        </is>
      </c>
      <c r="D5" s="65" t="inlineStr">
        <is>
          <t>Correct</t>
        </is>
      </c>
      <c r="E5" s="65" t="inlineStr">
        <is>
          <t>Accuracy</t>
        </is>
      </c>
      <c r="F5" s="65" t="inlineStr">
        <is>
          <t>Wilson 95% CI Lower</t>
        </is>
      </c>
      <c r="G5" s="65" t="inlineStr">
        <is>
          <t>Wilson 95% CI Upper</t>
        </is>
      </c>
    </row>
    <row r="6" ht="15" customHeight="1" s="36">
      <c r="A6" s="35" t="inlineStr">
        <is>
          <t>Gemma3:4b</t>
        </is>
      </c>
      <c r="B6" s="35" t="inlineStr">
        <is>
          <t>Adv Probability &amp; Statistics</t>
        </is>
      </c>
      <c r="C6" s="68" t="n">
        <v>884</v>
      </c>
      <c r="D6" s="68" t="n">
        <v>837</v>
      </c>
      <c r="E6" s="66" t="n">
        <v>0.94683257918552</v>
      </c>
      <c r="F6" s="66" t="n">
        <v>0.930014741340178</v>
      </c>
      <c r="G6" s="66" t="n">
        <v>0.959783760578559</v>
      </c>
    </row>
    <row r="7" ht="15" customHeight="1" s="36">
      <c r="A7" s="35" t="inlineStr">
        <is>
          <t>Phi3:3.8b</t>
        </is>
      </c>
      <c r="B7" s="35" t="inlineStr">
        <is>
          <t>Adv Probability &amp; Statistics</t>
        </is>
      </c>
      <c r="C7" s="68" t="n">
        <v>1000</v>
      </c>
      <c r="D7" s="68" t="n">
        <v>92</v>
      </c>
      <c r="E7" s="66" t="n">
        <v>0.092</v>
      </c>
      <c r="F7" s="66" t="n">
        <v>0.07561389956796891</v>
      </c>
      <c r="G7" s="66" t="n">
        <v>0.111508735356244</v>
      </c>
    </row>
    <row r="8" ht="15" customHeight="1" s="36">
      <c r="A8" s="35" t="inlineStr">
        <is>
          <t>Qwen3:4b</t>
        </is>
      </c>
      <c r="B8" s="35" t="inlineStr">
        <is>
          <t>Adv Probability &amp; Statistics</t>
        </is>
      </c>
      <c r="C8" s="68" t="n">
        <v>1000</v>
      </c>
      <c r="D8" s="68" t="n">
        <v>975</v>
      </c>
      <c r="E8" s="66" t="n">
        <v>0.975</v>
      </c>
      <c r="F8" s="66" t="n">
        <v>0.9633547107321569</v>
      </c>
      <c r="G8" s="66" t="n">
        <v>0.983009868706566</v>
      </c>
    </row>
    <row r="9" ht="15" customHeight="1" s="36">
      <c r="A9" s="35" t="inlineStr">
        <is>
          <t>Gemma3:4b</t>
        </is>
      </c>
      <c r="B9" s="35" t="inlineStr">
        <is>
          <t>Calculus I</t>
        </is>
      </c>
      <c r="C9" s="68" t="n">
        <v>374</v>
      </c>
      <c r="D9" s="68" t="n">
        <v>323</v>
      </c>
      <c r="E9" s="66" t="n">
        <v>0.863636363636364</v>
      </c>
      <c r="F9" s="66" t="n">
        <v>0.8251398408869201</v>
      </c>
      <c r="G9" s="66" t="n">
        <v>0.894738810992514</v>
      </c>
    </row>
    <row r="10" ht="15" customHeight="1" s="36">
      <c r="A10" s="35" t="inlineStr">
        <is>
          <t>Phi3:3.8b</t>
        </is>
      </c>
      <c r="B10" s="35" t="inlineStr">
        <is>
          <t>Calculus I</t>
        </is>
      </c>
      <c r="C10" s="68" t="n">
        <v>900</v>
      </c>
      <c r="D10" s="68" t="n">
        <v>110</v>
      </c>
      <c r="E10" s="66" t="n">
        <v>0.122222222222222</v>
      </c>
      <c r="F10" s="66" t="n">
        <v>0.102414040491712</v>
      </c>
      <c r="G10" s="66" t="n">
        <v>0.145241625926551</v>
      </c>
    </row>
    <row r="11" ht="15" customHeight="1" s="36">
      <c r="A11" s="35" t="inlineStr">
        <is>
          <t>Qwen3:4b</t>
        </is>
      </c>
      <c r="B11" s="35" t="inlineStr">
        <is>
          <t>Calculus I</t>
        </is>
      </c>
      <c r="C11" s="68" t="n">
        <v>900</v>
      </c>
      <c r="D11" s="68" t="n">
        <v>718</v>
      </c>
      <c r="E11" s="66" t="n">
        <v>0.797777777777778</v>
      </c>
      <c r="F11" s="66" t="n">
        <v>0.7702963227890089</v>
      </c>
      <c r="G11" s="66" t="n">
        <v>0.822728034269536</v>
      </c>
    </row>
    <row r="12" ht="15" customHeight="1" s="36">
      <c r="A12" s="35" t="inlineStr">
        <is>
          <t>Gemma3:4b</t>
        </is>
      </c>
      <c r="B12" s="35" t="inlineStr">
        <is>
          <t>Grade 8 Math</t>
        </is>
      </c>
      <c r="C12" s="68" t="n">
        <v>644</v>
      </c>
      <c r="D12" s="68" t="n">
        <v>435</v>
      </c>
      <c r="E12" s="66" t="n">
        <v>0.675465838509317</v>
      </c>
      <c r="F12" s="66" t="n">
        <v>0.638357031445051</v>
      </c>
      <c r="G12" s="66" t="n">
        <v>0.710493751293371</v>
      </c>
    </row>
    <row r="13" ht="15" customHeight="1" s="36">
      <c r="A13" s="35" t="inlineStr">
        <is>
          <t>Phi3:3.8b</t>
        </is>
      </c>
      <c r="B13" s="35" t="inlineStr">
        <is>
          <t>Grade 8 Math</t>
        </is>
      </c>
      <c r="C13" s="68" t="n">
        <v>644</v>
      </c>
      <c r="D13" s="68" t="n">
        <v>16</v>
      </c>
      <c r="E13" s="66" t="n">
        <v>0.0248447204968944</v>
      </c>
      <c r="F13" s="66" t="n">
        <v>0.0153496965561433</v>
      </c>
      <c r="G13" s="66" t="n">
        <v>0.0399747324884852</v>
      </c>
    </row>
    <row r="14" ht="15" customHeight="1" s="36">
      <c r="A14" s="35" t="inlineStr">
        <is>
          <t>Qwen3:4b</t>
        </is>
      </c>
      <c r="B14" s="35" t="inlineStr">
        <is>
          <t>Grade 8 Math</t>
        </is>
      </c>
      <c r="C14" s="68" t="n">
        <v>644</v>
      </c>
      <c r="D14" s="68" t="n">
        <v>504</v>
      </c>
      <c r="E14" s="66" t="n">
        <v>0.7826086956521739</v>
      </c>
      <c r="F14" s="66" t="n">
        <v>0.749126806403919</v>
      </c>
      <c r="G14" s="66" t="n">
        <v>0.812739056059733</v>
      </c>
    </row>
  </sheetData>
  <mergeCells count="3">
    <mergeCell ref="A3:G3"/>
    <mergeCell ref="A2:G2"/>
    <mergeCell ref="A1:G1"/>
  </mergeCells>
  <conditionalFormatting sqref="E6:E14">
    <cfRule type="colorScale" priority="2">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H29"/>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35" customWidth="1" style="35" min="3" max="3"/>
    <col width="10" customWidth="1" style="35" min="4" max="5"/>
    <col width="22" customWidth="1" style="35" min="6" max="6"/>
    <col width="23" customWidth="1" style="35" min="7" max="7"/>
    <col width="21" customWidth="1" style="35" min="8" max="8"/>
  </cols>
  <sheetData>
    <row r="1" ht="21.75" customHeight="1" s="36">
      <c r="A1" s="62" t="inlineStr">
        <is>
          <t>Per Category Accuracy</t>
        </is>
      </c>
    </row>
    <row r="2" ht="30" customHeight="1" s="36">
      <c r="A2" s="63" t="inlineStr">
        <is>
          <t>Accuracy split by question category within each dataset — where each model is strong or weak.</t>
        </is>
      </c>
    </row>
    <row r="3" ht="48" customHeight="1" s="36">
      <c r="A3" s="64" t="inlineStr">
        <is>
          <t>How to read: Look for categories where one model is much better or worse than the others. If 'N' is small, the accuracy is a noisy estimate (the CI will be wide).</t>
        </is>
      </c>
    </row>
    <row r="5" ht="15" customHeight="1" s="36">
      <c r="A5" s="65" t="inlineStr">
        <is>
          <t>Model</t>
        </is>
      </c>
      <c r="B5" s="65" t="inlineStr">
        <is>
          <t>Dataset</t>
        </is>
      </c>
      <c r="C5" s="65" t="inlineStr">
        <is>
          <t>Category</t>
        </is>
      </c>
      <c r="D5" s="65" t="inlineStr">
        <is>
          <t>N</t>
        </is>
      </c>
      <c r="E5" s="65" t="inlineStr">
        <is>
          <t>Correct</t>
        </is>
      </c>
      <c r="F5" s="65" t="inlineStr">
        <is>
          <t>Accuracy</t>
        </is>
      </c>
      <c r="G5" s="65" t="inlineStr">
        <is>
          <t>Wilson 95% CI Lower</t>
        </is>
      </c>
      <c r="H5" s="65" t="inlineStr">
        <is>
          <t>Wilson 95% CI Upper</t>
        </is>
      </c>
    </row>
    <row r="6" ht="15" customHeight="1" s="36">
      <c r="A6" s="35" t="inlineStr">
        <is>
          <t>Gemma3:4b</t>
        </is>
      </c>
      <c r="B6" s="35" t="inlineStr">
        <is>
          <t>Adv Probability &amp; Statistics</t>
        </is>
      </c>
      <c r="C6" s="35" t="inlineStr">
        <is>
          <t>Advanced Probability &amp; Statistics</t>
        </is>
      </c>
      <c r="D6" s="68" t="n">
        <v>884</v>
      </c>
      <c r="E6" s="68" t="n">
        <v>837</v>
      </c>
      <c r="F6" s="66" t="n">
        <v>0.94683257918552</v>
      </c>
      <c r="G6" s="66" t="n">
        <v>0.930014741340178</v>
      </c>
      <c r="H6" s="66" t="n">
        <v>0.959783760578559</v>
      </c>
    </row>
    <row r="7" ht="15" customHeight="1" s="36">
      <c r="A7" s="35" t="inlineStr">
        <is>
          <t>Phi3:3.8b</t>
        </is>
      </c>
      <c r="B7" s="35" t="inlineStr">
        <is>
          <t>Adv Probability &amp; Statistics</t>
        </is>
      </c>
      <c r="C7" s="35" t="inlineStr">
        <is>
          <t>Advanced Probability &amp; Statistics</t>
        </is>
      </c>
      <c r="D7" s="68" t="n">
        <v>1000</v>
      </c>
      <c r="E7" s="68" t="n">
        <v>92</v>
      </c>
      <c r="F7" s="66" t="n">
        <v>0.092</v>
      </c>
      <c r="G7" s="66" t="n">
        <v>0.07561389956796891</v>
      </c>
      <c r="H7" s="66" t="n">
        <v>0.111508735356244</v>
      </c>
    </row>
    <row r="8" ht="15" customHeight="1" s="36">
      <c r="A8" s="35" t="inlineStr">
        <is>
          <t>Qwen3:4b</t>
        </is>
      </c>
      <c r="B8" s="35" t="inlineStr">
        <is>
          <t>Adv Probability &amp; Statistics</t>
        </is>
      </c>
      <c r="C8" s="35" t="inlineStr">
        <is>
          <t>Advanced Probability &amp; Statistics</t>
        </is>
      </c>
      <c r="D8" s="68" t="n">
        <v>1000</v>
      </c>
      <c r="E8" s="68" t="n">
        <v>975</v>
      </c>
      <c r="F8" s="66" t="n">
        <v>0.975</v>
      </c>
      <c r="G8" s="66" t="n">
        <v>0.9633547107321569</v>
      </c>
      <c r="H8" s="66" t="n">
        <v>0.983009868706566</v>
      </c>
    </row>
    <row r="9" ht="15" customHeight="1" s="36">
      <c r="A9" s="35" t="inlineStr">
        <is>
          <t>Gemma3:4b</t>
        </is>
      </c>
      <c r="B9" s="35" t="inlineStr">
        <is>
          <t>Calculus I</t>
        </is>
      </c>
      <c r="C9" s="35" t="inlineStr">
        <is>
          <t>Calculus I</t>
        </is>
      </c>
      <c r="D9" s="68" t="n">
        <v>374</v>
      </c>
      <c r="E9" s="68" t="n">
        <v>323</v>
      </c>
      <c r="F9" s="66" t="n">
        <v>0.863636363636364</v>
      </c>
      <c r="G9" s="66" t="n">
        <v>0.8251398408869201</v>
      </c>
      <c r="H9" s="66" t="n">
        <v>0.894738810992514</v>
      </c>
    </row>
    <row r="10" ht="15" customHeight="1" s="36">
      <c r="A10" s="35" t="inlineStr">
        <is>
          <t>Phi3:3.8b</t>
        </is>
      </c>
      <c r="B10" s="35" t="inlineStr">
        <is>
          <t>Calculus I</t>
        </is>
      </c>
      <c r="C10" s="35" t="inlineStr">
        <is>
          <t>Calculus I</t>
        </is>
      </c>
      <c r="D10" s="68" t="n">
        <v>900</v>
      </c>
      <c r="E10" s="68" t="n">
        <v>110</v>
      </c>
      <c r="F10" s="66" t="n">
        <v>0.122222222222222</v>
      </c>
      <c r="G10" s="66" t="n">
        <v>0.102414040491712</v>
      </c>
      <c r="H10" s="66" t="n">
        <v>0.145241625926551</v>
      </c>
    </row>
    <row r="11" ht="15" customHeight="1" s="36">
      <c r="A11" s="35" t="inlineStr">
        <is>
          <t>Qwen3:4b</t>
        </is>
      </c>
      <c r="B11" s="35" t="inlineStr">
        <is>
          <t>Calculus I</t>
        </is>
      </c>
      <c r="C11" s="35" t="inlineStr">
        <is>
          <t>Calculus I</t>
        </is>
      </c>
      <c r="D11" s="68" t="n">
        <v>900</v>
      </c>
      <c r="E11" s="68" t="n">
        <v>718</v>
      </c>
      <c r="F11" s="66" t="n">
        <v>0.797777777777778</v>
      </c>
      <c r="G11" s="66" t="n">
        <v>0.7702963227890089</v>
      </c>
      <c r="H11" s="66" t="n">
        <v>0.822728034269536</v>
      </c>
    </row>
    <row r="12" ht="15" customHeight="1" s="36">
      <c r="A12" s="35" t="inlineStr">
        <is>
          <t>Gemma3:4b</t>
        </is>
      </c>
      <c r="B12" s="35" t="inlineStr">
        <is>
          <t>Grade 8 Math</t>
        </is>
      </c>
      <c r="C12" s="35" t="inlineStr">
        <is>
          <t>Expressions and Equations</t>
        </is>
      </c>
      <c r="D12" s="68" t="n">
        <v>186</v>
      </c>
      <c r="E12" s="68" t="n">
        <v>94</v>
      </c>
      <c r="F12" s="66" t="n">
        <v>0.5053763440860219</v>
      </c>
      <c r="G12" s="66" t="n">
        <v>0.434146535322519</v>
      </c>
      <c r="H12" s="66" t="n">
        <v>0.576388571247058</v>
      </c>
    </row>
    <row r="13" ht="15" customHeight="1" s="36">
      <c r="A13" s="35" t="inlineStr">
        <is>
          <t>Phi3:3.8b</t>
        </is>
      </c>
      <c r="B13" s="35" t="inlineStr">
        <is>
          <t>Grade 8 Math</t>
        </is>
      </c>
      <c r="C13" s="35" t="inlineStr">
        <is>
          <t>Expressions and Equations</t>
        </is>
      </c>
      <c r="D13" s="68" t="n">
        <v>186</v>
      </c>
      <c r="E13" s="68" t="n">
        <v>1</v>
      </c>
      <c r="F13" s="66" t="n">
        <v>0.00537634408602151</v>
      </c>
      <c r="G13" s="66" t="n">
        <v>0.0009496880252811601</v>
      </c>
      <c r="H13" s="66" t="n">
        <v>0.0298205075736233</v>
      </c>
    </row>
    <row r="14" ht="15" customHeight="1" s="36">
      <c r="A14" s="35" t="inlineStr">
        <is>
          <t>Qwen3:4b</t>
        </is>
      </c>
      <c r="B14" s="35" t="inlineStr">
        <is>
          <t>Grade 8 Math</t>
        </is>
      </c>
      <c r="C14" s="35" t="inlineStr">
        <is>
          <t>Expressions and Equations</t>
        </is>
      </c>
      <c r="D14" s="68" t="n">
        <v>186</v>
      </c>
      <c r="E14" s="68" t="n">
        <v>110</v>
      </c>
      <c r="F14" s="66" t="n">
        <v>0.591397849462366</v>
      </c>
      <c r="G14" s="66" t="n">
        <v>0.519597297705928</v>
      </c>
      <c r="H14" s="66" t="n">
        <v>0.659499513976883</v>
      </c>
    </row>
    <row r="15" ht="15" customHeight="1" s="36">
      <c r="A15" s="35" t="inlineStr">
        <is>
          <t>Gemma3:4b</t>
        </is>
      </c>
      <c r="B15" s="35" t="inlineStr">
        <is>
          <t>Grade 8 Math</t>
        </is>
      </c>
      <c r="C15" s="35" t="inlineStr">
        <is>
          <t>Functions</t>
        </is>
      </c>
      <c r="D15" s="68" t="n">
        <v>88</v>
      </c>
      <c r="E15" s="68" t="n">
        <v>76</v>
      </c>
      <c r="F15" s="66" t="n">
        <v>0.863636363636364</v>
      </c>
      <c r="G15" s="66" t="n">
        <v>0.776612496242885</v>
      </c>
      <c r="H15" s="66" t="n">
        <v>0.9202405461826479</v>
      </c>
    </row>
    <row r="16" ht="15" customHeight="1" s="36">
      <c r="A16" s="35" t="inlineStr">
        <is>
          <t>Phi3:3.8b</t>
        </is>
      </c>
      <c r="B16" s="35" t="inlineStr">
        <is>
          <t>Grade 8 Math</t>
        </is>
      </c>
      <c r="C16" s="35" t="inlineStr">
        <is>
          <t>Functions</t>
        </is>
      </c>
      <c r="D16" s="68" t="n">
        <v>88</v>
      </c>
      <c r="E16" s="68" t="n">
        <v>0</v>
      </c>
      <c r="F16" s="66" t="n">
        <v>0</v>
      </c>
      <c r="G16" s="66" t="n">
        <v>0</v>
      </c>
      <c r="H16" s="66" t="n">
        <v>0.0418270666648922</v>
      </c>
    </row>
    <row r="17" ht="15" customHeight="1" s="36">
      <c r="A17" s="35" t="inlineStr">
        <is>
          <t>Qwen3:4b</t>
        </is>
      </c>
      <c r="B17" s="35" t="inlineStr">
        <is>
          <t>Grade 8 Math</t>
        </is>
      </c>
      <c r="C17" s="35" t="inlineStr">
        <is>
          <t>Functions</t>
        </is>
      </c>
      <c r="D17" s="68" t="n">
        <v>88</v>
      </c>
      <c r="E17" s="68" t="n">
        <v>86</v>
      </c>
      <c r="F17" s="66" t="n">
        <v>0.977272727272727</v>
      </c>
      <c r="G17" s="66" t="n">
        <v>0.920874546447324</v>
      </c>
      <c r="H17" s="66" t="n">
        <v>0.993745071736188</v>
      </c>
    </row>
    <row r="18" ht="15" customHeight="1" s="36">
      <c r="A18" s="35" t="inlineStr">
        <is>
          <t>Gemma3:4b</t>
        </is>
      </c>
      <c r="B18" s="35" t="inlineStr">
        <is>
          <t>Grade 8 Math</t>
        </is>
      </c>
      <c r="C18" s="35" t="inlineStr">
        <is>
          <t>Geometry</t>
        </is>
      </c>
      <c r="D18" s="68" t="n">
        <v>145</v>
      </c>
      <c r="E18" s="68" t="n">
        <v>100</v>
      </c>
      <c r="F18" s="66" t="n">
        <v>0.689655172413793</v>
      </c>
      <c r="G18" s="66" t="n">
        <v>0.610276143395398</v>
      </c>
      <c r="H18" s="66" t="n">
        <v>0.759244556252254</v>
      </c>
    </row>
    <row r="19" ht="15" customHeight="1" s="36">
      <c r="A19" s="35" t="inlineStr">
        <is>
          <t>Phi3:3.8b</t>
        </is>
      </c>
      <c r="B19" s="35" t="inlineStr">
        <is>
          <t>Grade 8 Math</t>
        </is>
      </c>
      <c r="C19" s="35" t="inlineStr">
        <is>
          <t>Geometry</t>
        </is>
      </c>
      <c r="D19" s="68" t="n">
        <v>145</v>
      </c>
      <c r="E19" s="68" t="n">
        <v>0</v>
      </c>
      <c r="F19" s="66" t="n">
        <v>0</v>
      </c>
      <c r="G19" s="66" t="n">
        <v>0</v>
      </c>
      <c r="H19" s="66" t="n">
        <v>0.0258090645652825</v>
      </c>
    </row>
    <row r="20" ht="15" customHeight="1" s="36">
      <c r="A20" s="35" t="inlineStr">
        <is>
          <t>Qwen3:4b</t>
        </is>
      </c>
      <c r="B20" s="35" t="inlineStr">
        <is>
          <t>Grade 8 Math</t>
        </is>
      </c>
      <c r="C20" s="35" t="inlineStr">
        <is>
          <t>Geometry</t>
        </is>
      </c>
      <c r="D20" s="68" t="n">
        <v>145</v>
      </c>
      <c r="E20" s="68" t="n">
        <v>127</v>
      </c>
      <c r="F20" s="66" t="n">
        <v>0.875862068965517</v>
      </c>
      <c r="G20" s="66" t="n">
        <v>0.8123073312000469</v>
      </c>
      <c r="H20" s="66" t="n">
        <v>0.920015509919844</v>
      </c>
    </row>
    <row r="21" ht="15" customHeight="1" s="36">
      <c r="A21" s="35" t="inlineStr">
        <is>
          <t>Gemma3:4b</t>
        </is>
      </c>
      <c r="B21" s="35" t="inlineStr">
        <is>
          <t>Grade 8 Math</t>
        </is>
      </c>
      <c r="C21" s="35" t="inlineStr">
        <is>
          <t>Statistics and Probability</t>
        </is>
      </c>
      <c r="D21" s="68" t="n">
        <v>60</v>
      </c>
      <c r="E21" s="68" t="n">
        <v>56</v>
      </c>
      <c r="F21" s="66" t="n">
        <v>0.933333333333333</v>
      </c>
      <c r="G21" s="66" t="n">
        <v>0.840746426868028</v>
      </c>
      <c r="H21" s="66" t="n">
        <v>0.9737713012754941</v>
      </c>
    </row>
    <row r="22" ht="15" customHeight="1" s="36">
      <c r="A22" s="35" t="inlineStr">
        <is>
          <t>Phi3:3.8b</t>
        </is>
      </c>
      <c r="B22" s="35" t="inlineStr">
        <is>
          <t>Grade 8 Math</t>
        </is>
      </c>
      <c r="C22" s="35" t="inlineStr">
        <is>
          <t>Statistics and Probability</t>
        </is>
      </c>
      <c r="D22" s="68" t="n">
        <v>60</v>
      </c>
      <c r="E22" s="68" t="n">
        <v>0</v>
      </c>
      <c r="F22" s="66" t="n">
        <v>0</v>
      </c>
      <c r="G22" s="66" t="n">
        <v>0</v>
      </c>
      <c r="H22" s="66" t="n">
        <v>0.0601718521420899</v>
      </c>
    </row>
    <row r="23" ht="15" customHeight="1" s="36">
      <c r="A23" s="35" t="inlineStr">
        <is>
          <t>Qwen3:4b</t>
        </is>
      </c>
      <c r="B23" s="35" t="inlineStr">
        <is>
          <t>Grade 8 Math</t>
        </is>
      </c>
      <c r="C23" s="35" t="inlineStr">
        <is>
          <t>Statistics and Probability</t>
        </is>
      </c>
      <c r="D23" s="68" t="n">
        <v>60</v>
      </c>
      <c r="E23" s="68" t="n">
        <v>57</v>
      </c>
      <c r="F23" s="66" t="n">
        <v>0.95</v>
      </c>
      <c r="G23" s="66" t="n">
        <v>0.862994835236515</v>
      </c>
      <c r="H23" s="66" t="n">
        <v>0.982850497835604</v>
      </c>
    </row>
    <row r="24" ht="15" customHeight="1" s="36">
      <c r="A24" s="35" t="inlineStr">
        <is>
          <t>Gemma3:4b</t>
        </is>
      </c>
      <c r="B24" s="35" t="inlineStr">
        <is>
          <t>Grade 8 Math</t>
        </is>
      </c>
      <c r="C24" s="35" t="inlineStr">
        <is>
          <t>The Number System</t>
        </is>
      </c>
      <c r="D24" s="68" t="n">
        <v>164</v>
      </c>
      <c r="E24" s="68" t="n">
        <v>108</v>
      </c>
      <c r="F24" s="66" t="n">
        <v>0.658536585365854</v>
      </c>
      <c r="G24" s="66" t="n">
        <v>0.583076530070966</v>
      </c>
      <c r="H24" s="66" t="n">
        <v>0.72673965220824</v>
      </c>
    </row>
    <row r="25" ht="15" customHeight="1" s="36">
      <c r="A25" s="35" t="inlineStr">
        <is>
          <t>Phi3:3.8b</t>
        </is>
      </c>
      <c r="B25" s="35" t="inlineStr">
        <is>
          <t>Grade 8 Math</t>
        </is>
      </c>
      <c r="C25" s="35" t="inlineStr">
        <is>
          <t>The Number System</t>
        </is>
      </c>
      <c r="D25" s="68" t="n">
        <v>164</v>
      </c>
      <c r="E25" s="68" t="n">
        <v>15</v>
      </c>
      <c r="F25" s="66" t="n">
        <v>0.0914634146341463</v>
      </c>
      <c r="G25" s="66" t="n">
        <v>0.0562119146550456</v>
      </c>
      <c r="H25" s="66" t="n">
        <v>0.145415615625462</v>
      </c>
    </row>
    <row r="26" ht="15" customHeight="1" s="36">
      <c r="A26" s="35" t="inlineStr">
        <is>
          <t>Qwen3:4b</t>
        </is>
      </c>
      <c r="B26" s="35" t="inlineStr">
        <is>
          <t>Grade 8 Math</t>
        </is>
      </c>
      <c r="C26" s="35" t="inlineStr">
        <is>
          <t>The Number System</t>
        </is>
      </c>
      <c r="D26" s="68" t="n">
        <v>164</v>
      </c>
      <c r="E26" s="68" t="n">
        <v>123</v>
      </c>
      <c r="F26" s="66" t="n">
        <v>0.75</v>
      </c>
      <c r="G26" s="66" t="n">
        <v>0.67852001229003</v>
      </c>
      <c r="H26" s="66" t="n">
        <v>0.810036275150256</v>
      </c>
    </row>
    <row r="27" ht="15" customHeight="1" s="36">
      <c r="A27" s="35" t="inlineStr">
        <is>
          <t>Gemma3:4b</t>
        </is>
      </c>
      <c r="B27" s="35" t="inlineStr">
        <is>
          <t>Grade 8 Math</t>
        </is>
      </c>
      <c r="C27" s="35" t="inlineStr">
        <is>
          <t>unknown</t>
        </is>
      </c>
      <c r="D27" s="68" t="n">
        <v>1</v>
      </c>
      <c r="E27" s="68" t="n">
        <v>1</v>
      </c>
      <c r="F27" s="66" t="n">
        <v>1</v>
      </c>
      <c r="G27" s="66" t="n">
        <v>0.206549314377237</v>
      </c>
      <c r="H27" s="66" t="n">
        <v>1</v>
      </c>
    </row>
    <row r="28" ht="15" customHeight="1" s="36">
      <c r="A28" s="35" t="inlineStr">
        <is>
          <t>Phi3:3.8b</t>
        </is>
      </c>
      <c r="B28" s="35" t="inlineStr">
        <is>
          <t>Grade 8 Math</t>
        </is>
      </c>
      <c r="C28" s="35" t="inlineStr">
        <is>
          <t>unknown</t>
        </is>
      </c>
      <c r="D28" s="68" t="n">
        <v>1</v>
      </c>
      <c r="E28" s="68" t="n">
        <v>0</v>
      </c>
      <c r="F28" s="66" t="n">
        <v>0</v>
      </c>
      <c r="G28" s="66" t="n">
        <v>0</v>
      </c>
      <c r="H28" s="66" t="n">
        <v>0.793450685622763</v>
      </c>
    </row>
    <row r="29" ht="15" customHeight="1" s="36">
      <c r="A29" s="35" t="inlineStr">
        <is>
          <t>Qwen3:4b</t>
        </is>
      </c>
      <c r="B29" s="35" t="inlineStr">
        <is>
          <t>Grade 8 Math</t>
        </is>
      </c>
      <c r="C29" s="35" t="inlineStr">
        <is>
          <t>unknown</t>
        </is>
      </c>
      <c r="D29" s="68" t="n">
        <v>1</v>
      </c>
      <c r="E29" s="68" t="n">
        <v>1</v>
      </c>
      <c r="F29" s="66" t="n">
        <v>1</v>
      </c>
      <c r="G29" s="66" t="n">
        <v>0.206549314377237</v>
      </c>
      <c r="H29" s="66" t="n">
        <v>1</v>
      </c>
    </row>
  </sheetData>
  <mergeCells count="3">
    <mergeCell ref="A3:H3"/>
    <mergeCell ref="A2:H2"/>
    <mergeCell ref="A1:H1"/>
  </mergeCells>
  <conditionalFormatting sqref="F6:F29">
    <cfRule type="colorScale" priority="2">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A1:M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10" customWidth="1" style="35" min="3" max="4"/>
    <col width="21" customWidth="1" style="35" min="5" max="5"/>
    <col width="19" customWidth="1" style="35" min="6" max="6"/>
    <col width="21" customWidth="1" style="35" min="7" max="7"/>
    <col width="19" customWidth="1" style="35" min="8" max="8"/>
    <col width="20" customWidth="1" style="35" min="9" max="9"/>
    <col width="23" customWidth="1" style="35" min="10" max="10"/>
    <col width="20" customWidth="1" style="35" min="11" max="11"/>
    <col width="26" customWidth="1" style="35" min="12" max="12"/>
    <col width="21" customWidth="1" style="35" min="13" max="13"/>
  </cols>
  <sheetData>
    <row r="1" ht="21.75" customHeight="1" s="36">
      <c r="A1" s="62" t="inlineStr">
        <is>
          <t>Efficiency</t>
        </is>
      </c>
    </row>
    <row r="2" ht="30" customHeight="1" s="36">
      <c r="A2" s="63" t="inlineStr">
        <is>
          <t>Bang-for-the-buck: correct answers per unit of energy, per 1,000 output tokens, and per minute of wall time.</t>
        </is>
      </c>
    </row>
    <row r="3" ht="48" customHeight="1" s="36">
      <c r="A3" s="64" t="inlineStr">
        <is>
          <t>How to read: Bigger 'Correct per Wh / 1k Tokens / Minute' is better — the model squeezes more right answers out of each unit spent. Smaller 'Energy per Question' and 'Tokens per Question' is better (cheaper). A fast, cheap model that's also wrong isn't useful — always check Accuracy too.</t>
        </is>
      </c>
    </row>
    <row r="5" ht="15" customHeight="1" s="36">
      <c r="A5" s="65" t="inlineStr">
        <is>
          <t>Model</t>
        </is>
      </c>
      <c r="B5" s="65" t="inlineStr">
        <is>
          <t>Dataset</t>
        </is>
      </c>
      <c r="C5" s="65" t="inlineStr">
        <is>
          <t>N</t>
        </is>
      </c>
      <c r="D5" s="65" t="inlineStr">
        <is>
          <t>Correct</t>
        </is>
      </c>
      <c r="E5" s="65" t="inlineStr">
        <is>
          <t>Accuracy</t>
        </is>
      </c>
      <c r="F5" s="65" t="inlineStr">
        <is>
          <t>Total Energy (Wh)</t>
        </is>
      </c>
      <c r="G5" s="65" t="inlineStr">
        <is>
          <t>Total Output Tokens</t>
        </is>
      </c>
      <c r="H5" s="65" t="inlineStr">
        <is>
          <t>Total Time (s)</t>
        </is>
      </c>
      <c r="I5" s="65" t="inlineStr">
        <is>
          <t>Correct per Wh</t>
        </is>
      </c>
      <c r="J5" s="65" t="inlineStr">
        <is>
          <t>Correct per 1k Tokens</t>
        </is>
      </c>
      <c r="K5" s="65" t="inlineStr">
        <is>
          <t>Correct per Minute</t>
        </is>
      </c>
      <c r="L5" s="65" t="inlineStr">
        <is>
          <t>Energy per Question (Wh)</t>
        </is>
      </c>
      <c r="M5" s="65" t="inlineStr">
        <is>
          <t>Tokens per Question</t>
        </is>
      </c>
    </row>
    <row r="6" ht="15" customHeight="1" s="36">
      <c r="A6" s="35" t="inlineStr">
        <is>
          <t>Gemma3:4b</t>
        </is>
      </c>
      <c r="B6" s="35" t="inlineStr">
        <is>
          <t>Adv Probability &amp; Statistics</t>
        </is>
      </c>
      <c r="C6" s="68" t="n">
        <v>884</v>
      </c>
      <c r="D6" s="68" t="n">
        <v>837</v>
      </c>
      <c r="E6" s="66" t="n">
        <v>0.94683257918552</v>
      </c>
      <c r="F6" s="67" t="n">
        <v>128.2729</v>
      </c>
      <c r="G6" s="68" t="n">
        <v>389106</v>
      </c>
      <c r="H6" s="67" t="n">
        <v>6112.23776102066</v>
      </c>
      <c r="I6" s="67" t="n">
        <v>6.52515067485026</v>
      </c>
      <c r="J6" s="67" t="n">
        <v>2.1510847943748</v>
      </c>
      <c r="K6" s="67" t="n">
        <v>8.21630341677251</v>
      </c>
      <c r="L6" s="67" t="n">
        <v>0.145105090497738</v>
      </c>
      <c r="M6" s="67" t="n">
        <v>440.165158371041</v>
      </c>
    </row>
    <row r="7" ht="15" customHeight="1" s="36">
      <c r="A7" s="35" t="inlineStr">
        <is>
          <t>Phi3:3.8b</t>
        </is>
      </c>
      <c r="B7" s="35" t="inlineStr">
        <is>
          <t>Adv Probability &amp; Statistics</t>
        </is>
      </c>
      <c r="C7" s="68" t="n">
        <v>1000</v>
      </c>
      <c r="D7" s="68" t="n">
        <v>92</v>
      </c>
      <c r="E7" s="66" t="n">
        <v>0.092</v>
      </c>
      <c r="F7" s="67" t="n">
        <v>117.4365</v>
      </c>
      <c r="G7" s="68" t="n">
        <v>389492</v>
      </c>
      <c r="H7" s="67" t="n">
        <v>5804.96250605583</v>
      </c>
      <c r="I7" s="67" t="n">
        <v>0.783402093897553</v>
      </c>
      <c r="J7" s="67" t="n">
        <v>0.236205108192209</v>
      </c>
      <c r="K7" s="67" t="n">
        <v>0.95091053460577</v>
      </c>
      <c r="L7" s="67" t="n">
        <v>0.1174365</v>
      </c>
      <c r="M7" s="67" t="n">
        <v>389.492</v>
      </c>
    </row>
    <row r="8" ht="15" customHeight="1" s="36">
      <c r="A8" s="35" t="inlineStr">
        <is>
          <t>Qwen3:4b</t>
        </is>
      </c>
      <c r="B8" s="35" t="inlineStr">
        <is>
          <t>Adv Probability &amp; Statistics</t>
        </is>
      </c>
      <c r="C8" s="68" t="n">
        <v>1000</v>
      </c>
      <c r="D8" s="68" t="n">
        <v>975</v>
      </c>
      <c r="E8" s="66" t="n">
        <v>0.975</v>
      </c>
      <c r="F8" s="67" t="n">
        <v>496.1365</v>
      </c>
      <c r="G8" s="68" t="n">
        <v>1507469</v>
      </c>
      <c r="H8" s="67" t="n">
        <v>21356.4248445034</v>
      </c>
      <c r="I8" s="67" t="n">
        <v>1.96518498437426</v>
      </c>
      <c r="J8" s="67" t="n">
        <v>0.646779469428559</v>
      </c>
      <c r="K8" s="67" t="n">
        <v>2.73922252558374</v>
      </c>
      <c r="L8" s="67" t="n">
        <v>0.4961365</v>
      </c>
      <c r="M8" s="67" t="n">
        <v>1507.469</v>
      </c>
    </row>
    <row r="9" ht="15" customHeight="1" s="36">
      <c r="A9" s="35" t="inlineStr">
        <is>
          <t>Gemma3:4b</t>
        </is>
      </c>
      <c r="B9" s="35" t="inlineStr">
        <is>
          <t>Calculus I</t>
        </is>
      </c>
      <c r="C9" s="68" t="n">
        <v>374</v>
      </c>
      <c r="D9" s="68" t="n">
        <v>323</v>
      </c>
      <c r="E9" s="66" t="n">
        <v>0.863636363636364</v>
      </c>
      <c r="F9" s="67" t="n">
        <v>72.63460000000001</v>
      </c>
      <c r="G9" s="68" t="n">
        <v>187639</v>
      </c>
      <c r="H9" s="67" t="n">
        <v>4128.82273721695</v>
      </c>
      <c r="I9" s="67" t="n">
        <v>4.44691648332888</v>
      </c>
      <c r="J9" s="67" t="n">
        <v>1.72139054247784</v>
      </c>
      <c r="K9" s="67" t="n">
        <v>4.69383193066389</v>
      </c>
      <c r="L9" s="67" t="n">
        <v>0.194210160427808</v>
      </c>
      <c r="M9" s="67" t="n">
        <v>501.708556149733</v>
      </c>
    </row>
    <row r="10" ht="15" customHeight="1" s="36">
      <c r="A10" s="35" t="inlineStr">
        <is>
          <t>Phi3:3.8b</t>
        </is>
      </c>
      <c r="B10" s="35" t="inlineStr">
        <is>
          <t>Calculus I</t>
        </is>
      </c>
      <c r="C10" s="68" t="n">
        <v>900</v>
      </c>
      <c r="D10" s="68" t="n">
        <v>110</v>
      </c>
      <c r="E10" s="66" t="n">
        <v>0.122222222222222</v>
      </c>
      <c r="F10" s="67" t="n">
        <v>271.8522</v>
      </c>
      <c r="G10" s="68" t="n">
        <v>1070370</v>
      </c>
      <c r="H10" s="67" t="n">
        <v>11470.5423038006</v>
      </c>
      <c r="I10" s="67" t="n">
        <v>0.404631634395455</v>
      </c>
      <c r="J10" s="67" t="n">
        <v>0.102768201649897</v>
      </c>
      <c r="K10" s="67" t="n">
        <v>0.57538691939728</v>
      </c>
      <c r="L10" s="67" t="n">
        <v>0.302058</v>
      </c>
      <c r="M10" s="67" t="n">
        <v>1189.3</v>
      </c>
    </row>
    <row r="11" ht="15" customHeight="1" s="36">
      <c r="A11" s="35" t="inlineStr">
        <is>
          <t>Qwen3:4b</t>
        </is>
      </c>
      <c r="B11" s="35" t="inlineStr">
        <is>
          <t>Calculus I</t>
        </is>
      </c>
      <c r="C11" s="68" t="n">
        <v>900</v>
      </c>
      <c r="D11" s="68" t="n">
        <v>718</v>
      </c>
      <c r="E11" s="66" t="n">
        <v>0.797777777777778</v>
      </c>
      <c r="F11" s="67" t="n">
        <v>441.2787</v>
      </c>
      <c r="G11" s="68" t="n">
        <v>1336068</v>
      </c>
      <c r="H11" s="67" t="n">
        <v>19454.9946117401</v>
      </c>
      <c r="I11" s="67" t="n">
        <v>1.62708963745588</v>
      </c>
      <c r="J11" s="67" t="n">
        <v>0.537397797118111</v>
      </c>
      <c r="K11" s="67" t="n">
        <v>2.21434139971457</v>
      </c>
      <c r="L11" s="67" t="n">
        <v>0.490309666666667</v>
      </c>
      <c r="M11" s="67" t="n">
        <v>1484.52</v>
      </c>
    </row>
    <row r="12" ht="15" customHeight="1" s="36">
      <c r="A12" s="35" t="inlineStr">
        <is>
          <t>Gemma3:4b</t>
        </is>
      </c>
      <c r="B12" s="35" t="inlineStr">
        <is>
          <t>Grade 8 Math</t>
        </is>
      </c>
      <c r="C12" s="68" t="n">
        <v>644</v>
      </c>
      <c r="D12" s="68" t="n">
        <v>435</v>
      </c>
      <c r="E12" s="66" t="n">
        <v>0.675465838509317</v>
      </c>
      <c r="F12" s="67" t="n">
        <v>89.9217</v>
      </c>
      <c r="G12" s="68" t="n">
        <v>232337</v>
      </c>
      <c r="H12" s="67" t="n">
        <v>4697.00778722763</v>
      </c>
      <c r="I12" s="67" t="n">
        <v>4.83754199486887</v>
      </c>
      <c r="J12" s="67" t="n">
        <v>1.87228035138613</v>
      </c>
      <c r="K12" s="67" t="n">
        <v>5.55672913103798</v>
      </c>
      <c r="L12" s="67" t="n">
        <v>0.139629968944099</v>
      </c>
      <c r="M12" s="67" t="n">
        <v>360.771739130435</v>
      </c>
    </row>
    <row r="13" ht="15" customHeight="1" s="36">
      <c r="A13" s="35" t="inlineStr">
        <is>
          <t>Phi3:3.8b</t>
        </is>
      </c>
      <c r="B13" s="35" t="inlineStr">
        <is>
          <t>Grade 8 Math</t>
        </is>
      </c>
      <c r="C13" s="68" t="n">
        <v>644</v>
      </c>
      <c r="D13" s="68" t="n">
        <v>16</v>
      </c>
      <c r="E13" s="66" t="n">
        <v>0.0248447204968944</v>
      </c>
      <c r="F13" s="67" t="n">
        <v>79.643</v>
      </c>
      <c r="G13" s="68" t="n">
        <v>258025</v>
      </c>
      <c r="H13" s="67" t="n">
        <v>3842.07928919792</v>
      </c>
      <c r="I13" s="67" t="n">
        <v>0.20089650063408</v>
      </c>
      <c r="J13" s="67" t="n">
        <v>0.0620094952039531</v>
      </c>
      <c r="K13" s="67" t="n">
        <v>0.249864702870411</v>
      </c>
      <c r="L13" s="67" t="n">
        <v>0.123669254658385</v>
      </c>
      <c r="M13" s="67" t="n">
        <v>400.659937888199</v>
      </c>
    </row>
    <row r="14" ht="15" customHeight="1" s="36">
      <c r="A14" s="35" t="inlineStr">
        <is>
          <t>Qwen3:4b</t>
        </is>
      </c>
      <c r="B14" s="35" t="inlineStr">
        <is>
          <t>Grade 8 Math</t>
        </is>
      </c>
      <c r="C14" s="68" t="n">
        <v>644</v>
      </c>
      <c r="D14" s="68" t="n">
        <v>504</v>
      </c>
      <c r="E14" s="66" t="n">
        <v>0.7826086956521739</v>
      </c>
      <c r="F14" s="67" t="n">
        <v>355.8911</v>
      </c>
      <c r="G14" s="68" t="n">
        <v>977319</v>
      </c>
      <c r="H14" s="67" t="n">
        <v>13594.406922102</v>
      </c>
      <c r="I14" s="67" t="n">
        <v>1.41616353991432</v>
      </c>
      <c r="J14" s="67" t="n">
        <v>0.515696512602334</v>
      </c>
      <c r="K14" s="67" t="n">
        <v>2.2244442271943</v>
      </c>
      <c r="L14" s="67" t="n">
        <v>0.552625931677019</v>
      </c>
      <c r="M14" s="67" t="n">
        <v>1517.57608695652</v>
      </c>
    </row>
  </sheetData>
  <mergeCells count="3">
    <mergeCell ref="A3:M3"/>
    <mergeCell ref="A2:M2"/>
    <mergeCell ref="A1:M1"/>
  </mergeCells>
  <conditionalFormatting sqref="E6:E14">
    <cfRule type="colorScale" priority="2">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10" customWidth="1" style="35" min="3" max="4"/>
    <col width="19" customWidth="1" style="35" min="5" max="5"/>
    <col width="21" customWidth="1" style="35" min="6" max="6"/>
    <col width="15" customWidth="1" style="35" min="7" max="8"/>
    <col width="25" customWidth="1" style="35" min="9" max="9"/>
    <col width="21" customWidth="1" style="35" min="10" max="10"/>
  </cols>
  <sheetData>
    <row r="1" ht="21.75" customHeight="1" s="36">
      <c r="A1" s="62" t="inlineStr">
        <is>
          <t>Failure Modes</t>
        </is>
      </c>
    </row>
    <row r="2" ht="30" customHeight="1" s="36">
      <c r="A2" s="63" t="inlineStr">
        <is>
          <t>When a model is wrong, is it because the answer couldn't be parsed from the output, or because the parsed answer was the wrong number?</t>
        </is>
      </c>
    </row>
    <row r="3" ht="48" customHeight="1" s="36">
      <c r="A3" s="64" t="inlineStr">
        <is>
          <t>How to read: High 'Extraction Failure Rate' = formatting problem (the model may know the answer but wrote it in a way we couldn't read). High 'Wrong Answer Rate' = real reasoning miss. 'Hard Failures' = calls that crashed or timed out.</t>
        </is>
      </c>
    </row>
    <row r="5" ht="28.35" customHeight="1" s="36">
      <c r="A5" s="65" t="inlineStr">
        <is>
          <t>Model</t>
        </is>
      </c>
      <c r="B5" s="65" t="inlineStr">
        <is>
          <t>Dataset</t>
        </is>
      </c>
      <c r="C5" s="65" t="inlineStr">
        <is>
          <t>N</t>
        </is>
      </c>
      <c r="D5" s="65" t="inlineStr">
        <is>
          <t>Correct</t>
        </is>
      </c>
      <c r="E5" s="65" t="inlineStr">
        <is>
          <t>Incorrect (total)</t>
        </is>
      </c>
      <c r="F5" s="65" t="inlineStr">
        <is>
          <t>Extraction Failures</t>
        </is>
      </c>
      <c r="G5" s="65" t="inlineStr">
        <is>
          <t>Wrong Answers</t>
        </is>
      </c>
      <c r="H5" s="65" t="inlineStr">
        <is>
          <t>Hard Failures</t>
        </is>
      </c>
      <c r="I5" s="65" t="inlineStr">
        <is>
          <t>Extraction Failure Rate</t>
        </is>
      </c>
      <c r="J5" s="65" t="inlineStr">
        <is>
          <t>Wrong Answer Rate</t>
        </is>
      </c>
    </row>
    <row r="6" ht="15" customHeight="1" s="36">
      <c r="A6" s="35" t="inlineStr">
        <is>
          <t>Gemma3:4b</t>
        </is>
      </c>
      <c r="B6" s="35" t="inlineStr">
        <is>
          <t>Adv Probability &amp; Statistics</t>
        </is>
      </c>
      <c r="C6" s="68" t="n">
        <v>884</v>
      </c>
      <c r="D6" s="68" t="n">
        <v>837</v>
      </c>
      <c r="E6" s="68" t="n">
        <v>47</v>
      </c>
      <c r="F6" s="68" t="n">
        <v>0</v>
      </c>
      <c r="G6" s="68" t="n">
        <v>47</v>
      </c>
      <c r="H6" s="68" t="n">
        <v>0</v>
      </c>
      <c r="I6" s="66" t="n">
        <v>0</v>
      </c>
      <c r="J6" s="66" t="n">
        <v>0.0531674208144796</v>
      </c>
    </row>
    <row r="7" ht="15" customHeight="1" s="36">
      <c r="A7" s="35" t="inlineStr">
        <is>
          <t>Phi3:3.8b</t>
        </is>
      </c>
      <c r="B7" s="35" t="inlineStr">
        <is>
          <t>Adv Probability &amp; Statistics</t>
        </is>
      </c>
      <c r="C7" s="68" t="n">
        <v>1000</v>
      </c>
      <c r="D7" s="68" t="n">
        <v>92</v>
      </c>
      <c r="E7" s="68" t="n">
        <v>908</v>
      </c>
      <c r="F7" s="68" t="n">
        <v>0</v>
      </c>
      <c r="G7" s="68" t="n">
        <v>908</v>
      </c>
      <c r="H7" s="68" t="n">
        <v>0</v>
      </c>
      <c r="I7" s="66" t="n">
        <v>0</v>
      </c>
      <c r="J7" s="66" t="n">
        <v>0.908</v>
      </c>
    </row>
    <row r="8" ht="15" customHeight="1" s="36">
      <c r="A8" s="35" t="inlineStr">
        <is>
          <t>Qwen3:4b</t>
        </is>
      </c>
      <c r="B8" s="35" t="inlineStr">
        <is>
          <t>Adv Probability &amp; Statistics</t>
        </is>
      </c>
      <c r="C8" s="68" t="n">
        <v>1000</v>
      </c>
      <c r="D8" s="68" t="n">
        <v>975</v>
      </c>
      <c r="E8" s="68" t="n">
        <v>25</v>
      </c>
      <c r="F8" s="68" t="n">
        <v>0</v>
      </c>
      <c r="G8" s="68" t="n">
        <v>25</v>
      </c>
      <c r="H8" s="68" t="n">
        <v>0</v>
      </c>
      <c r="I8" s="66" t="n">
        <v>0</v>
      </c>
      <c r="J8" s="66" t="n">
        <v>0.025</v>
      </c>
    </row>
    <row r="9" ht="15" customHeight="1" s="36">
      <c r="A9" s="35" t="inlineStr">
        <is>
          <t>Gemma3:4b</t>
        </is>
      </c>
      <c r="B9" s="35" t="inlineStr">
        <is>
          <t>Calculus I</t>
        </is>
      </c>
      <c r="C9" s="68" t="n">
        <v>374</v>
      </c>
      <c r="D9" s="68" t="n">
        <v>323</v>
      </c>
      <c r="E9" s="68" t="n">
        <v>51</v>
      </c>
      <c r="F9" s="68" t="n">
        <v>0</v>
      </c>
      <c r="G9" s="68" t="n">
        <v>51</v>
      </c>
      <c r="H9" s="68" t="n">
        <v>0</v>
      </c>
      <c r="I9" s="66" t="n">
        <v>0</v>
      </c>
      <c r="J9" s="66" t="n">
        <v>0.136363636363636</v>
      </c>
    </row>
    <row r="10" ht="15" customHeight="1" s="36">
      <c r="A10" s="35" t="inlineStr">
        <is>
          <t>Phi3:3.8b</t>
        </is>
      </c>
      <c r="B10" s="35" t="inlineStr">
        <is>
          <t>Calculus I</t>
        </is>
      </c>
      <c r="C10" s="68" t="n">
        <v>900</v>
      </c>
      <c r="D10" s="68" t="n">
        <v>110</v>
      </c>
      <c r="E10" s="68" t="n">
        <v>790</v>
      </c>
      <c r="F10" s="68" t="n">
        <v>0</v>
      </c>
      <c r="G10" s="68" t="n">
        <v>790</v>
      </c>
      <c r="H10" s="68" t="n">
        <v>0</v>
      </c>
      <c r="I10" s="66" t="n">
        <v>0</v>
      </c>
      <c r="J10" s="66" t="n">
        <v>0.877777777777778</v>
      </c>
    </row>
    <row r="11" ht="15" customHeight="1" s="36">
      <c r="A11" s="35" t="inlineStr">
        <is>
          <t>Qwen3:4b</t>
        </is>
      </c>
      <c r="B11" s="35" t="inlineStr">
        <is>
          <t>Calculus I</t>
        </is>
      </c>
      <c r="C11" s="68" t="n">
        <v>900</v>
      </c>
      <c r="D11" s="68" t="n">
        <v>718</v>
      </c>
      <c r="E11" s="68" t="n">
        <v>182</v>
      </c>
      <c r="F11" s="68" t="n">
        <v>0</v>
      </c>
      <c r="G11" s="68" t="n">
        <v>182</v>
      </c>
      <c r="H11" s="68" t="n">
        <v>0</v>
      </c>
      <c r="I11" s="66" t="n">
        <v>0</v>
      </c>
      <c r="J11" s="66" t="n">
        <v>0.202222222222222</v>
      </c>
    </row>
    <row r="12" ht="15" customHeight="1" s="36">
      <c r="A12" s="35" t="inlineStr">
        <is>
          <t>Gemma3:4b</t>
        </is>
      </c>
      <c r="B12" s="35" t="inlineStr">
        <is>
          <t>Grade 8 Math</t>
        </is>
      </c>
      <c r="C12" s="68" t="n">
        <v>644</v>
      </c>
      <c r="D12" s="68" t="n">
        <v>435</v>
      </c>
      <c r="E12" s="68" t="n">
        <v>209</v>
      </c>
      <c r="F12" s="68" t="n">
        <v>0</v>
      </c>
      <c r="G12" s="68" t="n">
        <v>209</v>
      </c>
      <c r="H12" s="68" t="n">
        <v>0</v>
      </c>
      <c r="I12" s="66" t="n">
        <v>0</v>
      </c>
      <c r="J12" s="66" t="n">
        <v>0.324534161490683</v>
      </c>
    </row>
    <row r="13" ht="15" customHeight="1" s="36">
      <c r="A13" s="35" t="inlineStr">
        <is>
          <t>Phi3:3.8b</t>
        </is>
      </c>
      <c r="B13" s="35" t="inlineStr">
        <is>
          <t>Grade 8 Math</t>
        </is>
      </c>
      <c r="C13" s="68" t="n">
        <v>644</v>
      </c>
      <c r="D13" s="68" t="n">
        <v>16</v>
      </c>
      <c r="E13" s="68" t="n">
        <v>628</v>
      </c>
      <c r="F13" s="68" t="n">
        <v>1</v>
      </c>
      <c r="G13" s="68" t="n">
        <v>627</v>
      </c>
      <c r="H13" s="68" t="n">
        <v>1</v>
      </c>
      <c r="I13" s="66" t="n">
        <v>0.0015527950310559</v>
      </c>
      <c r="J13" s="66" t="n">
        <v>0.97360248447205</v>
      </c>
    </row>
    <row r="14" ht="15" customHeight="1" s="36">
      <c r="A14" s="35" t="inlineStr">
        <is>
          <t>Qwen3:4b</t>
        </is>
      </c>
      <c r="B14" s="35" t="inlineStr">
        <is>
          <t>Grade 8 Math</t>
        </is>
      </c>
      <c r="C14" s="68" t="n">
        <v>644</v>
      </c>
      <c r="D14" s="68" t="n">
        <v>504</v>
      </c>
      <c r="E14" s="68" t="n">
        <v>140</v>
      </c>
      <c r="F14" s="68" t="n">
        <v>0</v>
      </c>
      <c r="G14" s="68" t="n">
        <v>140</v>
      </c>
      <c r="H14" s="68" t="n">
        <v>0</v>
      </c>
      <c r="I14" s="66" t="n">
        <v>0</v>
      </c>
      <c r="J14" s="66" t="n">
        <v>0.217391304347826</v>
      </c>
    </row>
  </sheetData>
  <mergeCells count="3">
    <mergeCell ref="A1:J1"/>
    <mergeCell ref="A3:J3"/>
    <mergeCell ref="A2:J2"/>
  </mergeCells>
  <conditionalFormatting sqref="I6:I14">
    <cfRule type="colorScale" priority="2">
      <colorScale>
        <cfvo type="num" val="0"/>
        <cfvo type="num" val="0.25"/>
        <cfvo type="num" val="0.5"/>
        <color rgb="FF63BE7B"/>
        <color rgb="FFFFEB84"/>
        <color rgb="FFF8696B"/>
      </colorScale>
    </cfRule>
  </conditionalFormatting>
  <conditionalFormatting sqref="J6:J14">
    <cfRule type="colorScale" priority="3">
      <colorScale>
        <cfvo type="num" val="0"/>
        <cfvo type="num" val="0.25"/>
        <cfvo type="num" val="0.5"/>
        <color rgb="FF63BE7B"/>
        <color rgb="FFFFEB84"/>
        <color rgb="FFF8696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K10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29" customWidth="1" style="35" min="3" max="3"/>
    <col width="10" customWidth="1" style="35" min="4" max="4"/>
    <col width="20" customWidth="1" style="35" min="5" max="5"/>
    <col width="19" customWidth="1" style="35" min="6" max="6"/>
    <col width="21" customWidth="1" style="35" min="7" max="7"/>
    <col width="19" customWidth="1" style="35" min="8" max="11"/>
  </cols>
  <sheetData>
    <row r="1" ht="21.75" customHeight="1" s="36">
      <c r="A1" s="62" t="inlineStr">
        <is>
          <t>Metric Summary</t>
        </is>
      </c>
    </row>
    <row r="2" ht="30" customHeight="1" s="36">
      <c r="A2" s="63" t="inlineStr">
        <is>
          <t>Typical per-question cost for each model: how long it takes, how many tokens it writes, how much energy it uses.</t>
        </is>
      </c>
    </row>
    <row r="3" ht="48" customHeight="1" s="36">
      <c r="A3" s="64" t="inlineStr">
        <is>
          <t>How to read: 'Median' is the typical value; 'Mean' is the average (pulled by outliers). Use these to compare the everyday cost of each model.</t>
        </is>
      </c>
    </row>
    <row r="5" ht="15" customHeight="1" s="36">
      <c r="A5" s="65" t="inlineStr">
        <is>
          <t>Model</t>
        </is>
      </c>
      <c r="B5" s="65" t="inlineStr">
        <is>
          <t>Dataset</t>
        </is>
      </c>
      <c r="C5" s="65" t="inlineStr">
        <is>
          <t>Metric</t>
        </is>
      </c>
      <c r="D5" s="65" t="inlineStr">
        <is>
          <t>N</t>
        </is>
      </c>
      <c r="E5" s="65" t="inlineStr">
        <is>
          <t>Mean</t>
        </is>
      </c>
      <c r="F5" s="65" t="inlineStr">
        <is>
          <t>Median</t>
        </is>
      </c>
      <c r="G5" s="65" t="inlineStr">
        <is>
          <t>Std Dev</t>
        </is>
      </c>
      <c r="H5" s="65" t="inlineStr">
        <is>
          <t>Q25</t>
        </is>
      </c>
      <c r="I5" s="65" t="inlineStr">
        <is>
          <t>Q75</t>
        </is>
      </c>
      <c r="J5" s="65" t="inlineStr">
        <is>
          <t>Min</t>
        </is>
      </c>
      <c r="K5" s="65" t="inlineStr">
        <is>
          <t>Max</t>
        </is>
      </c>
    </row>
    <row r="6" ht="15" customHeight="1" s="36">
      <c r="A6" s="35" t="inlineStr">
        <is>
          <t>Gemma3:4b</t>
        </is>
      </c>
      <c r="B6" s="35" t="inlineStr">
        <is>
          <t>Adv Probability &amp; Statistics</t>
        </is>
      </c>
      <c r="C6" s="35" t="inlineStr">
        <is>
          <t>processing_time_s</t>
        </is>
      </c>
      <c r="D6" s="68" t="n">
        <v>884</v>
      </c>
      <c r="E6" s="67" t="n">
        <v>6.91429610975188</v>
      </c>
      <c r="F6" s="67" t="n">
        <v>6.78752481937408</v>
      </c>
      <c r="G6" s="67" t="n">
        <v>2.56768312823969</v>
      </c>
      <c r="H6" s="67" t="n">
        <v>5.52510476112366</v>
      </c>
      <c r="I6" s="67" t="n">
        <v>7.89598727226257</v>
      </c>
      <c r="J6" s="67" t="n">
        <v>2.98437333106995</v>
      </c>
      <c r="K6" s="67" t="n">
        <v>66.24541258811951</v>
      </c>
    </row>
    <row r="7" ht="15" customHeight="1" s="36">
      <c r="A7" s="35" t="inlineStr">
        <is>
          <t>Gemma3:4b</t>
        </is>
      </c>
      <c r="B7" s="35" t="inlineStr">
        <is>
          <t>Adv Probability &amp; Statistics</t>
        </is>
      </c>
      <c r="C7" s="35" t="inlineStr">
        <is>
          <t>total_duration_s</t>
        </is>
      </c>
      <c r="D7" s="68" t="n">
        <v>884</v>
      </c>
      <c r="E7" s="67" t="n">
        <v>4.87165373303168</v>
      </c>
      <c r="F7" s="67" t="n">
        <v>4.74775</v>
      </c>
      <c r="G7" s="67" t="n">
        <v>2.5644396375528</v>
      </c>
      <c r="H7" s="67" t="n">
        <v>3.476925</v>
      </c>
      <c r="I7" s="67" t="n">
        <v>5.85915</v>
      </c>
      <c r="J7" s="67" t="n">
        <v>2.2757</v>
      </c>
      <c r="K7" s="67" t="n">
        <v>64.19240000000001</v>
      </c>
    </row>
    <row r="8" ht="15" customHeight="1" s="36">
      <c r="A8" s="35" t="inlineStr">
        <is>
          <t>Gemma3:4b</t>
        </is>
      </c>
      <c r="B8" s="35" t="inlineStr">
        <is>
          <t>Adv Probability &amp; Statistics</t>
        </is>
      </c>
      <c r="C8" s="35" t="inlineStr">
        <is>
          <t>eval_duration_s</t>
        </is>
      </c>
      <c r="D8" s="68" t="n">
        <v>884</v>
      </c>
      <c r="E8" s="67" t="n">
        <v>4.20934694570136</v>
      </c>
      <c r="F8" s="67" t="n">
        <v>4.0847</v>
      </c>
      <c r="G8" s="67" t="n">
        <v>2.43159824140675</v>
      </c>
      <c r="H8" s="67" t="n">
        <v>2.8807</v>
      </c>
      <c r="I8" s="67" t="n">
        <v>5.1671</v>
      </c>
      <c r="J8" s="67" t="n">
        <v>1.7453</v>
      </c>
      <c r="K8" s="67" t="n">
        <v>60.5102</v>
      </c>
    </row>
    <row r="9" ht="15" customHeight="1" s="36">
      <c r="A9" s="35" t="inlineStr">
        <is>
          <t>Gemma3:4b</t>
        </is>
      </c>
      <c r="B9" s="35" t="inlineStr">
        <is>
          <t>Adv Probability &amp; Statistics</t>
        </is>
      </c>
      <c r="C9" s="35" t="inlineStr">
        <is>
          <t>eval_count</t>
        </is>
      </c>
      <c r="D9" s="68" t="n">
        <v>884</v>
      </c>
      <c r="E9" s="67" t="n">
        <v>440.165158371041</v>
      </c>
      <c r="F9" s="67" t="n">
        <v>431</v>
      </c>
      <c r="G9" s="67" t="n">
        <v>247.543088867052</v>
      </c>
      <c r="H9" s="67" t="n">
        <v>295.75</v>
      </c>
      <c r="I9" s="67" t="n">
        <v>552.5</v>
      </c>
      <c r="J9" s="67" t="n">
        <v>183</v>
      </c>
      <c r="K9" s="67" t="n">
        <v>5851</v>
      </c>
    </row>
    <row r="10" ht="15" customHeight="1" s="36">
      <c r="A10" s="35" t="inlineStr">
        <is>
          <t>Gemma3:4b</t>
        </is>
      </c>
      <c r="B10" s="35" t="inlineStr">
        <is>
          <t>Adv Probability &amp; Statistics</t>
        </is>
      </c>
      <c r="C10" s="35" t="inlineStr">
        <is>
          <t>prompt_eval_count</t>
        </is>
      </c>
      <c r="D10" s="68" t="n">
        <v>884</v>
      </c>
      <c r="E10" s="67" t="n">
        <v>315.018099547511</v>
      </c>
      <c r="F10" s="67" t="n">
        <v>313</v>
      </c>
      <c r="G10" s="67" t="n">
        <v>24.0860976994293</v>
      </c>
      <c r="H10" s="67" t="n">
        <v>295</v>
      </c>
      <c r="I10" s="67" t="n">
        <v>319</v>
      </c>
      <c r="J10" s="67" t="n">
        <v>290</v>
      </c>
      <c r="K10" s="67" t="n">
        <v>385</v>
      </c>
    </row>
    <row r="11" ht="15" customHeight="1" s="36">
      <c r="A11" s="35" t="inlineStr">
        <is>
          <t>Gemma3:4b</t>
        </is>
      </c>
      <c r="B11" s="35" t="inlineStr">
        <is>
          <t>Adv Probability &amp; Statistics</t>
        </is>
      </c>
      <c r="C11" s="35" t="inlineStr">
        <is>
          <t>generation_speed_tps</t>
        </is>
      </c>
      <c r="D11" s="68" t="n">
        <v>884</v>
      </c>
      <c r="E11" s="67" t="n">
        <v>103.933563348416</v>
      </c>
      <c r="F11" s="67" t="n">
        <v>105.125</v>
      </c>
      <c r="G11" s="67" t="n">
        <v>4.9426047661941</v>
      </c>
      <c r="H11" s="67" t="n">
        <v>101.81</v>
      </c>
      <c r="I11" s="67" t="n">
        <v>107.14</v>
      </c>
      <c r="J11" s="67" t="n">
        <v>59.13</v>
      </c>
      <c r="K11" s="67" t="n">
        <v>114.23</v>
      </c>
    </row>
    <row r="12" ht="15" customHeight="1" s="36">
      <c r="A12" s="35" t="inlineStr">
        <is>
          <t>Gemma3:4b</t>
        </is>
      </c>
      <c r="B12" s="35" t="inlineStr">
        <is>
          <t>Adv Probability &amp; Statistics</t>
        </is>
      </c>
      <c r="C12" s="35" t="inlineStr">
        <is>
          <t>prompt_processing_speed_tps</t>
        </is>
      </c>
      <c r="D12" s="68" t="n">
        <v>884</v>
      </c>
      <c r="E12" s="67" t="n">
        <v>3467.99159502263</v>
      </c>
      <c r="F12" s="67" t="n">
        <v>3532.875</v>
      </c>
      <c r="G12" s="67" t="n">
        <v>1439.5447671472</v>
      </c>
      <c r="H12" s="67" t="n">
        <v>2354.2075</v>
      </c>
      <c r="I12" s="67" t="n">
        <v>4523.05</v>
      </c>
      <c r="J12" s="67" t="n">
        <v>862.48</v>
      </c>
      <c r="K12" s="67" t="n">
        <v>17803.78</v>
      </c>
    </row>
    <row r="13" ht="15" customHeight="1" s="36">
      <c r="A13" s="35" t="inlineStr">
        <is>
          <t>Gemma3:4b</t>
        </is>
      </c>
      <c r="B13" s="35" t="inlineStr">
        <is>
          <t>Adv Probability &amp; Statistics</t>
        </is>
      </c>
      <c r="C13" s="35" t="inlineStr">
        <is>
          <t>energy_estimate_wh</t>
        </is>
      </c>
      <c r="D13" s="68" t="n">
        <v>884</v>
      </c>
      <c r="E13" s="67" t="n">
        <v>0.145105090497738</v>
      </c>
      <c r="F13" s="67" t="n">
        <v>0.14205</v>
      </c>
      <c r="G13" s="67" t="n">
        <v>0.0761727528405219</v>
      </c>
      <c r="H13" s="67" t="n">
        <v>0.1032</v>
      </c>
      <c r="I13" s="67" t="n">
        <v>0.1763</v>
      </c>
      <c r="J13" s="67" t="n">
        <v>0.0594</v>
      </c>
      <c r="K13" s="67" t="n">
        <v>1.8815</v>
      </c>
    </row>
    <row r="14" ht="15" customHeight="1" s="36">
      <c r="A14" s="35" t="inlineStr">
        <is>
          <t>Gemma3:4b</t>
        </is>
      </c>
      <c r="B14" s="35" t="inlineStr">
        <is>
          <t>Adv Probability &amp; Statistics</t>
        </is>
      </c>
      <c r="C14" s="35" t="inlineStr">
        <is>
          <t>gpu_power_avg_w</t>
        </is>
      </c>
      <c r="D14" s="68" t="n">
        <v>884</v>
      </c>
      <c r="E14" s="67" t="n">
        <v>73.4949095022624</v>
      </c>
      <c r="F14" s="67" t="n">
        <v>75.40000000000001</v>
      </c>
      <c r="G14" s="67" t="n">
        <v>9.10048392007644</v>
      </c>
      <c r="H14" s="67" t="n">
        <v>67.2</v>
      </c>
      <c r="I14" s="67" t="n">
        <v>80.09999999999999</v>
      </c>
      <c r="J14" s="67" t="n">
        <v>46.8</v>
      </c>
      <c r="K14" s="67" t="n">
        <v>102.2</v>
      </c>
    </row>
    <row r="15" ht="15" customHeight="1" s="36">
      <c r="A15" s="35" t="inlineStr">
        <is>
          <t>Gemma3:4b</t>
        </is>
      </c>
      <c r="B15" s="35" t="inlineStr">
        <is>
          <t>Adv Probability &amp; Statistics</t>
        </is>
      </c>
      <c r="C15" s="35" t="inlineStr">
        <is>
          <t>gpu_vram_peak_mb</t>
        </is>
      </c>
      <c r="D15" s="68" t="n">
        <v>884</v>
      </c>
      <c r="E15" s="67" t="n">
        <v>4317.54649321267</v>
      </c>
      <c r="F15" s="67" t="n">
        <v>4322.9</v>
      </c>
      <c r="G15" s="67" t="n">
        <v>7.57967263753119</v>
      </c>
      <c r="H15" s="67" t="n">
        <v>4314.4</v>
      </c>
      <c r="I15" s="67" t="n">
        <v>4322.9</v>
      </c>
      <c r="J15" s="67" t="n">
        <v>4296.2</v>
      </c>
      <c r="K15" s="67" t="n">
        <v>4323.4</v>
      </c>
    </row>
    <row r="16" ht="15" customHeight="1" s="36">
      <c r="A16" s="35" t="inlineStr">
        <is>
          <t>Gemma3:4b</t>
        </is>
      </c>
      <c r="B16" s="35" t="inlineStr">
        <is>
          <t>Adv Probability &amp; Statistics</t>
        </is>
      </c>
      <c r="C16" s="35" t="inlineStr">
        <is>
          <t>ram_peak_mb</t>
        </is>
      </c>
      <c r="D16" s="68" t="n">
        <v>884</v>
      </c>
      <c r="E16" s="67" t="n">
        <v>34595.111199095</v>
      </c>
      <c r="F16" s="67" t="n">
        <v>34754.9</v>
      </c>
      <c r="G16" s="67" t="n">
        <v>720.832194821198</v>
      </c>
      <c r="H16" s="67" t="n">
        <v>34228.8</v>
      </c>
      <c r="I16" s="67" t="n">
        <v>35052.375</v>
      </c>
      <c r="J16" s="67" t="n">
        <v>31987.3</v>
      </c>
      <c r="K16" s="67" t="n">
        <v>35769.2</v>
      </c>
    </row>
    <row r="17" ht="15" customHeight="1" s="36">
      <c r="A17" s="35" t="inlineStr">
        <is>
          <t>Gemma3:4b</t>
        </is>
      </c>
      <c r="B17" s="35" t="inlineStr">
        <is>
          <t>Calculus I</t>
        </is>
      </c>
      <c r="C17" s="35" t="inlineStr">
        <is>
          <t>processing_time_s</t>
        </is>
      </c>
      <c r="D17" s="68" t="n">
        <v>374</v>
      </c>
      <c r="E17" s="67" t="n">
        <v>11.0396329872111</v>
      </c>
      <c r="F17" s="67" t="n">
        <v>9.263090014457701</v>
      </c>
      <c r="G17" s="67" t="n">
        <v>11.5096875114311</v>
      </c>
      <c r="H17" s="67" t="n">
        <v>7.84987437725067</v>
      </c>
      <c r="I17" s="67" t="n">
        <v>11.4089868664742</v>
      </c>
      <c r="J17" s="67" t="n">
        <v>5.28641557693481</v>
      </c>
      <c r="K17" s="67" t="n">
        <v>205.982759237289</v>
      </c>
    </row>
    <row r="18" ht="15" customHeight="1" s="36">
      <c r="A18" s="35" t="inlineStr">
        <is>
          <t>Gemma3:4b</t>
        </is>
      </c>
      <c r="B18" s="35" t="inlineStr">
        <is>
          <t>Calculus I</t>
        </is>
      </c>
      <c r="C18" s="35" t="inlineStr">
        <is>
          <t>total_duration_s</t>
        </is>
      </c>
      <c r="D18" s="68" t="n">
        <v>374</v>
      </c>
      <c r="E18" s="67" t="n">
        <v>8.99142780748663</v>
      </c>
      <c r="F18" s="67" t="n">
        <v>7.24685</v>
      </c>
      <c r="G18" s="67" t="n">
        <v>11.5054206634725</v>
      </c>
      <c r="H18" s="67" t="n">
        <v>5.798275</v>
      </c>
      <c r="I18" s="67" t="n">
        <v>9.351599999999999</v>
      </c>
      <c r="J18" s="67" t="n">
        <v>3.2407</v>
      </c>
      <c r="K18" s="67" t="n">
        <v>203.8631</v>
      </c>
    </row>
    <row r="19" ht="15" customHeight="1" s="36">
      <c r="A19" s="35" t="inlineStr">
        <is>
          <t>Gemma3:4b</t>
        </is>
      </c>
      <c r="B19" s="35" t="inlineStr">
        <is>
          <t>Calculus I</t>
        </is>
      </c>
      <c r="C19" s="35" t="inlineStr">
        <is>
          <t>eval_duration_s</t>
        </is>
      </c>
      <c r="D19" s="68" t="n">
        <v>374</v>
      </c>
      <c r="E19" s="67" t="n">
        <v>7.33416631016043</v>
      </c>
      <c r="F19" s="67" t="n">
        <v>5.6733</v>
      </c>
      <c r="G19" s="67" t="n">
        <v>10.9512430045256</v>
      </c>
      <c r="H19" s="67" t="n">
        <v>4.241775</v>
      </c>
      <c r="I19" s="67" t="n">
        <v>7.768525</v>
      </c>
      <c r="J19" s="67" t="n">
        <v>1.8161</v>
      </c>
      <c r="K19" s="67" t="n">
        <v>192.5161</v>
      </c>
    </row>
    <row r="20" ht="15" customHeight="1" s="36">
      <c r="A20" s="35" t="inlineStr">
        <is>
          <t>Gemma3:4b</t>
        </is>
      </c>
      <c r="B20" s="35" t="inlineStr">
        <is>
          <t>Calculus I</t>
        </is>
      </c>
      <c r="C20" s="35" t="inlineStr">
        <is>
          <t>eval_count</t>
        </is>
      </c>
      <c r="D20" s="68" t="n">
        <v>374</v>
      </c>
      <c r="E20" s="67" t="n">
        <v>501.708556149733</v>
      </c>
      <c r="F20" s="67" t="n">
        <v>421</v>
      </c>
      <c r="G20" s="67" t="n">
        <v>849.714775095189</v>
      </c>
      <c r="H20" s="67" t="n">
        <v>326.25</v>
      </c>
      <c r="I20" s="67" t="n">
        <v>525.75</v>
      </c>
      <c r="J20" s="67" t="n">
        <v>171</v>
      </c>
      <c r="K20" s="67" t="n">
        <v>16384</v>
      </c>
    </row>
    <row r="21" ht="15" customHeight="1" s="36">
      <c r="A21" s="35" t="inlineStr">
        <is>
          <t>Gemma3:4b</t>
        </is>
      </c>
      <c r="B21" s="35" t="inlineStr">
        <is>
          <t>Calculus I</t>
        </is>
      </c>
      <c r="C21" s="35" t="inlineStr">
        <is>
          <t>prompt_eval_count</t>
        </is>
      </c>
      <c r="D21" s="68" t="n">
        <v>374</v>
      </c>
      <c r="E21" s="67" t="n">
        <v>296.080213903743</v>
      </c>
      <c r="F21" s="67" t="n">
        <v>294</v>
      </c>
      <c r="G21" s="67" t="n">
        <v>7.27616727005297</v>
      </c>
      <c r="H21" s="67" t="n">
        <v>291</v>
      </c>
      <c r="I21" s="67" t="n">
        <v>300</v>
      </c>
      <c r="J21" s="67" t="n">
        <v>288</v>
      </c>
      <c r="K21" s="67" t="n">
        <v>322</v>
      </c>
    </row>
    <row r="22" ht="15" customHeight="1" s="36">
      <c r="A22" s="35" t="inlineStr">
        <is>
          <t>Gemma3:4b</t>
        </is>
      </c>
      <c r="B22" s="35" t="inlineStr">
        <is>
          <t>Calculus I</t>
        </is>
      </c>
      <c r="C22" s="35" t="inlineStr">
        <is>
          <t>generation_speed_tps</t>
        </is>
      </c>
      <c r="D22" s="68" t="n">
        <v>374</v>
      </c>
      <c r="E22" s="67" t="n">
        <v>74.33745989304811</v>
      </c>
      <c r="F22" s="67" t="n">
        <v>74.95</v>
      </c>
      <c r="G22" s="67" t="n">
        <v>17.8014336626983</v>
      </c>
      <c r="H22" s="67" t="n">
        <v>62.4775</v>
      </c>
      <c r="I22" s="67" t="n">
        <v>82.19750000000001</v>
      </c>
      <c r="J22" s="67" t="n">
        <v>10.32</v>
      </c>
      <c r="K22" s="67" t="n">
        <v>113.49</v>
      </c>
    </row>
    <row r="23" ht="15" customHeight="1" s="36">
      <c r="A23" s="35" t="inlineStr">
        <is>
          <t>Gemma3:4b</t>
        </is>
      </c>
      <c r="B23" s="35" t="inlineStr">
        <is>
          <t>Calculus I</t>
        </is>
      </c>
      <c r="C23" s="35" t="inlineStr">
        <is>
          <t>prompt_processing_speed_tps</t>
        </is>
      </c>
      <c r="D23" s="68" t="n">
        <v>374</v>
      </c>
      <c r="E23" s="67" t="n">
        <v>3177.97545454545</v>
      </c>
      <c r="F23" s="67" t="n">
        <v>3346.435</v>
      </c>
      <c r="G23" s="67" t="n">
        <v>1211.89419491639</v>
      </c>
      <c r="H23" s="67" t="n">
        <v>2769.1325</v>
      </c>
      <c r="I23" s="67" t="n">
        <v>3848.255</v>
      </c>
      <c r="J23" s="67" t="n">
        <v>704.75</v>
      </c>
      <c r="K23" s="67" t="n">
        <v>14550.11</v>
      </c>
    </row>
    <row r="24" ht="15" customHeight="1" s="36">
      <c r="A24" s="35" t="inlineStr">
        <is>
          <t>Gemma3:4b</t>
        </is>
      </c>
      <c r="B24" s="35" t="inlineStr">
        <is>
          <t>Calculus I</t>
        </is>
      </c>
      <c r="C24" s="35" t="inlineStr">
        <is>
          <t>energy_estimate_wh</t>
        </is>
      </c>
      <c r="D24" s="68" t="n">
        <v>374</v>
      </c>
      <c r="E24" s="67" t="n">
        <v>0.194210160427808</v>
      </c>
      <c r="F24" s="67" t="n">
        <v>0.15865</v>
      </c>
      <c r="G24" s="67" t="n">
        <v>0.280547466898834</v>
      </c>
      <c r="H24" s="67" t="n">
        <v>0.1282</v>
      </c>
      <c r="I24" s="67" t="n">
        <v>0.2075</v>
      </c>
      <c r="J24" s="67" t="n">
        <v>0.0612</v>
      </c>
      <c r="K24" s="67" t="n">
        <v>5.3609</v>
      </c>
    </row>
    <row r="25" ht="15" customHeight="1" s="36">
      <c r="A25" s="35" t="inlineStr">
        <is>
          <t>Gemma3:4b</t>
        </is>
      </c>
      <c r="B25" s="35" t="inlineStr">
        <is>
          <t>Calculus I</t>
        </is>
      </c>
      <c r="C25" s="35" t="inlineStr">
        <is>
          <t>gpu_power_avg_w</t>
        </is>
      </c>
      <c r="D25" s="68" t="n">
        <v>374</v>
      </c>
      <c r="E25" s="67" t="n">
        <v>63.2446524064171</v>
      </c>
      <c r="F25" s="67" t="n">
        <v>67.40000000000001</v>
      </c>
      <c r="G25" s="67" t="n">
        <v>14.8025923663247</v>
      </c>
      <c r="H25" s="67" t="n">
        <v>48.05</v>
      </c>
      <c r="I25" s="67" t="n">
        <v>73.8</v>
      </c>
      <c r="J25" s="67" t="n">
        <v>22.5</v>
      </c>
      <c r="K25" s="67" t="n">
        <v>96</v>
      </c>
    </row>
    <row r="26" ht="15" customHeight="1" s="36">
      <c r="A26" s="35" t="inlineStr">
        <is>
          <t>Gemma3:4b</t>
        </is>
      </c>
      <c r="B26" s="35" t="inlineStr">
        <is>
          <t>Calculus I</t>
        </is>
      </c>
      <c r="C26" s="35" t="inlineStr">
        <is>
          <t>gpu_vram_peak_mb</t>
        </is>
      </c>
      <c r="D26" s="68" t="n">
        <v>374</v>
      </c>
      <c r="E26" s="67" t="n">
        <v>4113.84652406417</v>
      </c>
      <c r="F26" s="67" t="n">
        <v>4113.8</v>
      </c>
      <c r="G26" s="67" t="n">
        <v>0.635353612216123</v>
      </c>
      <c r="H26" s="67" t="n">
        <v>4113.8</v>
      </c>
      <c r="I26" s="67" t="n">
        <v>4113.8</v>
      </c>
      <c r="J26" s="67" t="n">
        <v>4113.8</v>
      </c>
      <c r="K26" s="67" t="n">
        <v>4122.5</v>
      </c>
    </row>
    <row r="27" ht="15" customHeight="1" s="36">
      <c r="A27" s="35" t="inlineStr">
        <is>
          <t>Gemma3:4b</t>
        </is>
      </c>
      <c r="B27" s="35" t="inlineStr">
        <is>
          <t>Calculus I</t>
        </is>
      </c>
      <c r="C27" s="35" t="inlineStr">
        <is>
          <t>ram_peak_mb</t>
        </is>
      </c>
      <c r="D27" s="68" t="n">
        <v>374</v>
      </c>
      <c r="E27" s="67" t="n">
        <v>30494.3874331551</v>
      </c>
      <c r="F27" s="67" t="n">
        <v>30614.35</v>
      </c>
      <c r="G27" s="67" t="n">
        <v>1370.99350773805</v>
      </c>
      <c r="H27" s="67" t="n">
        <v>29225.125</v>
      </c>
      <c r="I27" s="67" t="n">
        <v>31521.8</v>
      </c>
      <c r="J27" s="67" t="n">
        <v>28634.7</v>
      </c>
      <c r="K27" s="67" t="n">
        <v>34385.4</v>
      </c>
    </row>
    <row r="28" ht="15" customHeight="1" s="36">
      <c r="A28" s="35" t="inlineStr">
        <is>
          <t>Gemma3:4b</t>
        </is>
      </c>
      <c r="B28" s="35" t="inlineStr">
        <is>
          <t>Grade 8 Math</t>
        </is>
      </c>
      <c r="C28" s="35" t="inlineStr">
        <is>
          <t>processing_time_s</t>
        </is>
      </c>
      <c r="D28" s="68" t="n">
        <v>644</v>
      </c>
      <c r="E28" s="67" t="n">
        <v>7.29349035283794</v>
      </c>
      <c r="F28" s="67" t="n">
        <v>6.89156556129456</v>
      </c>
      <c r="G28" s="67" t="n">
        <v>2.00079297559357</v>
      </c>
      <c r="H28" s="67" t="n">
        <v>6.24573737382889</v>
      </c>
      <c r="I28" s="67" t="n">
        <v>7.82375258207321</v>
      </c>
      <c r="J28" s="67" t="n">
        <v>4.53519034385681</v>
      </c>
      <c r="K28" s="67" t="n">
        <v>26.6536855697632</v>
      </c>
    </row>
    <row r="29" ht="15" customHeight="1" s="36">
      <c r="A29" s="35" t="inlineStr">
        <is>
          <t>Gemma3:4b</t>
        </is>
      </c>
      <c r="B29" s="35" t="inlineStr">
        <is>
          <t>Grade 8 Math</t>
        </is>
      </c>
      <c r="C29" s="35" t="inlineStr">
        <is>
          <t>total_duration_s</t>
        </is>
      </c>
      <c r="D29" s="68" t="n">
        <v>644</v>
      </c>
      <c r="E29" s="67" t="n">
        <v>5.23575698757764</v>
      </c>
      <c r="F29" s="67" t="n">
        <v>4.82555</v>
      </c>
      <c r="G29" s="67" t="n">
        <v>2.01978388828192</v>
      </c>
      <c r="H29" s="67" t="n">
        <v>4.1761</v>
      </c>
      <c r="I29" s="67" t="n">
        <v>5.761175</v>
      </c>
      <c r="J29" s="67" t="n">
        <v>2.485</v>
      </c>
      <c r="K29" s="67" t="n">
        <v>24.6038</v>
      </c>
    </row>
    <row r="30" ht="15" customHeight="1" s="36">
      <c r="A30" s="35" t="inlineStr">
        <is>
          <t>Gemma3:4b</t>
        </is>
      </c>
      <c r="B30" s="35" t="inlineStr">
        <is>
          <t>Grade 8 Math</t>
        </is>
      </c>
      <c r="C30" s="35" t="inlineStr">
        <is>
          <t>eval_duration_s</t>
        </is>
      </c>
      <c r="D30" s="68" t="n">
        <v>644</v>
      </c>
      <c r="E30" s="67" t="n">
        <v>3.71066102484472</v>
      </c>
      <c r="F30" s="67" t="n">
        <v>3.33915</v>
      </c>
      <c r="G30" s="67" t="n">
        <v>1.88929531619774</v>
      </c>
      <c r="H30" s="67" t="n">
        <v>2.74355</v>
      </c>
      <c r="I30" s="67" t="n">
        <v>4.192075</v>
      </c>
      <c r="J30" s="67" t="n">
        <v>1.2516</v>
      </c>
      <c r="K30" s="67" t="n">
        <v>22.3275</v>
      </c>
    </row>
    <row r="31" ht="15" customHeight="1" s="36">
      <c r="A31" s="35" t="inlineStr">
        <is>
          <t>Gemma3:4b</t>
        </is>
      </c>
      <c r="B31" s="35" t="inlineStr">
        <is>
          <t>Grade 8 Math</t>
        </is>
      </c>
      <c r="C31" s="35" t="inlineStr">
        <is>
          <t>eval_count</t>
        </is>
      </c>
      <c r="D31" s="68" t="n">
        <v>644</v>
      </c>
      <c r="E31" s="67" t="n">
        <v>360.771739130435</v>
      </c>
      <c r="F31" s="67" t="n">
        <v>322</v>
      </c>
      <c r="G31" s="67" t="n">
        <v>202.599066432995</v>
      </c>
      <c r="H31" s="67" t="n">
        <v>259</v>
      </c>
      <c r="I31" s="67" t="n">
        <v>403.25</v>
      </c>
      <c r="J31" s="67" t="n">
        <v>106</v>
      </c>
      <c r="K31" s="67" t="n">
        <v>2473</v>
      </c>
    </row>
    <row r="32" ht="15" customHeight="1" s="36">
      <c r="A32" s="35" t="inlineStr">
        <is>
          <t>Gemma3:4b</t>
        </is>
      </c>
      <c r="B32" s="35" t="inlineStr">
        <is>
          <t>Grade 8 Math</t>
        </is>
      </c>
      <c r="C32" s="35" t="inlineStr">
        <is>
          <t>prompt_eval_count</t>
        </is>
      </c>
      <c r="D32" s="68" t="n">
        <v>644</v>
      </c>
      <c r="E32" s="67" t="n">
        <v>307.027950310559</v>
      </c>
      <c r="F32" s="67" t="n">
        <v>305</v>
      </c>
      <c r="G32" s="67" t="n">
        <v>11.9984120835342</v>
      </c>
      <c r="H32" s="67" t="n">
        <v>298</v>
      </c>
      <c r="I32" s="67" t="n">
        <v>313</v>
      </c>
      <c r="J32" s="67" t="n">
        <v>290</v>
      </c>
      <c r="K32" s="67" t="n">
        <v>355</v>
      </c>
    </row>
    <row r="33" ht="15" customHeight="1" s="36">
      <c r="A33" s="35" t="inlineStr">
        <is>
          <t>Gemma3:4b</t>
        </is>
      </c>
      <c r="B33" s="35" t="inlineStr">
        <is>
          <t>Grade 8 Math</t>
        </is>
      </c>
      <c r="C33" s="35" t="inlineStr">
        <is>
          <t>generation_speed_tps</t>
        </is>
      </c>
      <c r="D33" s="68" t="n">
        <v>644</v>
      </c>
      <c r="E33" s="67" t="n">
        <v>96.3573757763975</v>
      </c>
      <c r="F33" s="67" t="n">
        <v>95.86499999999999</v>
      </c>
      <c r="G33" s="67" t="n">
        <v>5.10953158415014</v>
      </c>
      <c r="H33" s="67" t="n">
        <v>93.4825</v>
      </c>
      <c r="I33" s="67" t="n">
        <v>98.52249999999999</v>
      </c>
      <c r="J33" s="67" t="n">
        <v>79.95</v>
      </c>
      <c r="K33" s="67" t="n">
        <v>112.57</v>
      </c>
    </row>
    <row r="34" ht="15" customHeight="1" s="36">
      <c r="A34" s="35" t="inlineStr">
        <is>
          <t>Gemma3:4b</t>
        </is>
      </c>
      <c r="B34" s="35" t="inlineStr">
        <is>
          <t>Grade 8 Math</t>
        </is>
      </c>
      <c r="C34" s="35" t="inlineStr">
        <is>
          <t>prompt_processing_speed_tps</t>
        </is>
      </c>
      <c r="D34" s="68" t="n">
        <v>644</v>
      </c>
      <c r="E34" s="67" t="n">
        <v>3874.28858695652</v>
      </c>
      <c r="F34" s="67" t="n">
        <v>3810.81</v>
      </c>
      <c r="G34" s="67" t="n">
        <v>1901.01520232128</v>
      </c>
      <c r="H34" s="67" t="n">
        <v>2018.2275</v>
      </c>
      <c r="I34" s="67" t="n">
        <v>5653.35</v>
      </c>
      <c r="J34" s="67" t="n">
        <v>790.79</v>
      </c>
      <c r="K34" s="67" t="n">
        <v>16504.27</v>
      </c>
    </row>
    <row r="35" ht="15" customHeight="1" s="36">
      <c r="A35" s="35" t="inlineStr">
        <is>
          <t>Gemma3:4b</t>
        </is>
      </c>
      <c r="B35" s="35" t="inlineStr">
        <is>
          <t>Grade 8 Math</t>
        </is>
      </c>
      <c r="C35" s="35" t="inlineStr">
        <is>
          <t>energy_estimate_wh</t>
        </is>
      </c>
      <c r="D35" s="68" t="n">
        <v>644</v>
      </c>
      <c r="E35" s="67" t="n">
        <v>0.139629968944099</v>
      </c>
      <c r="F35" s="67" t="n">
        <v>0.12725</v>
      </c>
      <c r="G35" s="67" t="n">
        <v>0.0619769827790953</v>
      </c>
      <c r="H35" s="67" t="n">
        <v>0.1076</v>
      </c>
      <c r="I35" s="67" t="n">
        <v>0.153925</v>
      </c>
      <c r="J35" s="67" t="n">
        <v>0.0591</v>
      </c>
      <c r="K35" s="67" t="n">
        <v>0.7433</v>
      </c>
    </row>
    <row r="36" ht="15" customHeight="1" s="36">
      <c r="A36" s="35" t="inlineStr">
        <is>
          <t>Gemma3:4b</t>
        </is>
      </c>
      <c r="B36" s="35" t="inlineStr">
        <is>
          <t>Grade 8 Math</t>
        </is>
      </c>
      <c r="C36" s="35" t="inlineStr">
        <is>
          <t>gpu_power_avg_w</t>
        </is>
      </c>
      <c r="D36" s="68" t="n">
        <v>644</v>
      </c>
      <c r="E36" s="67" t="n">
        <v>67.0914596273292</v>
      </c>
      <c r="F36" s="67" t="n">
        <v>66.8</v>
      </c>
      <c r="G36" s="67" t="n">
        <v>8.187826474485369</v>
      </c>
      <c r="H36" s="67" t="n">
        <v>61.45</v>
      </c>
      <c r="I36" s="67" t="n">
        <v>71.90000000000001</v>
      </c>
      <c r="J36" s="67" t="n">
        <v>44.7</v>
      </c>
      <c r="K36" s="67" t="n">
        <v>104.5</v>
      </c>
    </row>
    <row r="37" ht="15" customHeight="1" s="36">
      <c r="A37" s="35" t="inlineStr">
        <is>
          <t>Gemma3:4b</t>
        </is>
      </c>
      <c r="B37" s="35" t="inlineStr">
        <is>
          <t>Grade 8 Math</t>
        </is>
      </c>
      <c r="C37" s="35" t="inlineStr">
        <is>
          <t>gpu_vram_peak_mb</t>
        </is>
      </c>
      <c r="D37" s="68" t="n">
        <v>644</v>
      </c>
      <c r="E37" s="67" t="n">
        <v>4521.56350931677</v>
      </c>
      <c r="F37" s="67" t="n">
        <v>4533.8</v>
      </c>
      <c r="G37" s="67" t="n">
        <v>31.9914421018944</v>
      </c>
      <c r="H37" s="67" t="n">
        <v>4523.8</v>
      </c>
      <c r="I37" s="67" t="n">
        <v>4534</v>
      </c>
      <c r="J37" s="67" t="n">
        <v>4404.8</v>
      </c>
      <c r="K37" s="67" t="n">
        <v>4542.5</v>
      </c>
    </row>
    <row r="38" ht="15" customHeight="1" s="36">
      <c r="A38" s="35" t="inlineStr">
        <is>
          <t>Gemma3:4b</t>
        </is>
      </c>
      <c r="B38" s="35" t="inlineStr">
        <is>
          <t>Grade 8 Math</t>
        </is>
      </c>
      <c r="C38" s="35" t="inlineStr">
        <is>
          <t>ram_peak_mb</t>
        </is>
      </c>
      <c r="D38" s="68" t="n">
        <v>644</v>
      </c>
      <c r="E38" s="67" t="n">
        <v>30693.7298136646</v>
      </c>
      <c r="F38" s="67" t="n">
        <v>30299.4</v>
      </c>
      <c r="G38" s="67" t="n">
        <v>2555.78685530453</v>
      </c>
      <c r="H38" s="67" t="n">
        <v>29328.85</v>
      </c>
      <c r="I38" s="67" t="n">
        <v>31746.375</v>
      </c>
      <c r="J38" s="67" t="n">
        <v>26075.8</v>
      </c>
      <c r="K38" s="67" t="n">
        <v>43685.9</v>
      </c>
    </row>
    <row r="39" ht="15" customHeight="1" s="36">
      <c r="A39" s="35" t="inlineStr">
        <is>
          <t>Phi3:3.8b</t>
        </is>
      </c>
      <c r="B39" s="35" t="inlineStr">
        <is>
          <t>Adv Probability &amp; Statistics</t>
        </is>
      </c>
      <c r="C39" s="35" t="inlineStr">
        <is>
          <t>processing_time_s</t>
        </is>
      </c>
      <c r="D39" s="68" t="n">
        <v>1000</v>
      </c>
      <c r="E39" s="67" t="n">
        <v>5.80496250605583</v>
      </c>
      <c r="F39" s="67" t="n">
        <v>4.33443117141724</v>
      </c>
      <c r="G39" s="67" t="n">
        <v>9.4868077480044</v>
      </c>
      <c r="H39" s="67" t="n">
        <v>3.67157399654388</v>
      </c>
      <c r="I39" s="67" t="n">
        <v>5.3219438791275</v>
      </c>
      <c r="J39" s="67" t="n">
        <v>2.25611710548401</v>
      </c>
      <c r="K39" s="67" t="n">
        <v>169.74266242981</v>
      </c>
    </row>
    <row r="40" ht="15" customHeight="1" s="36">
      <c r="A40" s="35" t="inlineStr">
        <is>
          <t>Phi3:3.8b</t>
        </is>
      </c>
      <c r="B40" s="35" t="inlineStr">
        <is>
          <t>Adv Probability &amp; Statistics</t>
        </is>
      </c>
      <c r="C40" s="35" t="inlineStr">
        <is>
          <t>total_duration_s</t>
        </is>
      </c>
      <c r="D40" s="68" t="n">
        <v>1000</v>
      </c>
      <c r="E40" s="67" t="n">
        <v>3.7437086</v>
      </c>
      <c r="F40" s="67" t="n">
        <v>2.2751</v>
      </c>
      <c r="G40" s="67" t="n">
        <v>9.479863947851561</v>
      </c>
      <c r="H40" s="67" t="n">
        <v>1.613725</v>
      </c>
      <c r="I40" s="67" t="n">
        <v>3.263925</v>
      </c>
      <c r="J40" s="67" t="n">
        <v>0.4563</v>
      </c>
      <c r="K40" s="67" t="n">
        <v>167.5665</v>
      </c>
    </row>
    <row r="41" ht="15" customHeight="1" s="36">
      <c r="A41" s="35" t="inlineStr">
        <is>
          <t>Phi3:3.8b</t>
        </is>
      </c>
      <c r="B41" s="35" t="inlineStr">
        <is>
          <t>Adv Probability &amp; Statistics</t>
        </is>
      </c>
      <c r="C41" s="35" t="inlineStr">
        <is>
          <t>eval_duration_s</t>
        </is>
      </c>
      <c r="D41" s="68" t="n">
        <v>1000</v>
      </c>
      <c r="E41" s="67" t="n">
        <v>2.9563427</v>
      </c>
      <c r="F41" s="67" t="n">
        <v>1.73325</v>
      </c>
      <c r="G41" s="67" t="n">
        <v>8.054282036190759</v>
      </c>
      <c r="H41" s="67" t="n">
        <v>1.156725</v>
      </c>
      <c r="I41" s="67" t="n">
        <v>2.56015</v>
      </c>
      <c r="J41" s="67" t="n">
        <v>0.1366</v>
      </c>
      <c r="K41" s="67" t="n">
        <v>143.8392</v>
      </c>
    </row>
    <row r="42" ht="15" customHeight="1" s="36">
      <c r="A42" s="35" t="inlineStr">
        <is>
          <t>Phi3:3.8b</t>
        </is>
      </c>
      <c r="B42" s="35" t="inlineStr">
        <is>
          <t>Adv Probability &amp; Statistics</t>
        </is>
      </c>
      <c r="C42" s="35" t="inlineStr">
        <is>
          <t>eval_count</t>
        </is>
      </c>
      <c r="D42" s="68" t="n">
        <v>1000</v>
      </c>
      <c r="E42" s="67" t="n">
        <v>389.492</v>
      </c>
      <c r="F42" s="67" t="n">
        <v>237</v>
      </c>
      <c r="G42" s="67" t="n">
        <v>785.00004012675</v>
      </c>
      <c r="H42" s="67" t="n">
        <v>149</v>
      </c>
      <c r="I42" s="67" t="n">
        <v>374.5</v>
      </c>
      <c r="J42" s="67" t="n">
        <v>10</v>
      </c>
      <c r="K42" s="67" t="n">
        <v>12339</v>
      </c>
    </row>
    <row r="43" ht="15" customHeight="1" s="36">
      <c r="A43" s="35" t="inlineStr">
        <is>
          <t>Phi3:3.8b</t>
        </is>
      </c>
      <c r="B43" s="35" t="inlineStr">
        <is>
          <t>Adv Probability &amp; Statistics</t>
        </is>
      </c>
      <c r="C43" s="35" t="inlineStr">
        <is>
          <t>prompt_eval_count</t>
        </is>
      </c>
      <c r="D43" s="68" t="n">
        <v>1000</v>
      </c>
      <c r="E43" s="67" t="n">
        <v>367.994</v>
      </c>
      <c r="F43" s="67" t="n">
        <v>365</v>
      </c>
      <c r="G43" s="67" t="n">
        <v>24.0543670998964</v>
      </c>
      <c r="H43" s="67" t="n">
        <v>348</v>
      </c>
      <c r="I43" s="67" t="n">
        <v>374.25</v>
      </c>
      <c r="J43" s="67" t="n">
        <v>344</v>
      </c>
      <c r="K43" s="67" t="n">
        <v>437</v>
      </c>
    </row>
    <row r="44" ht="15" customHeight="1" s="36">
      <c r="A44" s="35" t="inlineStr">
        <is>
          <t>Phi3:3.8b</t>
        </is>
      </c>
      <c r="B44" s="35" t="inlineStr">
        <is>
          <t>Adv Probability &amp; Statistics</t>
        </is>
      </c>
      <c r="C44" s="35" t="inlineStr">
        <is>
          <t>generation_speed_tps</t>
        </is>
      </c>
      <c r="D44" s="68" t="n">
        <v>1000</v>
      </c>
      <c r="E44" s="67" t="n">
        <v>135.12575</v>
      </c>
      <c r="F44" s="67" t="n">
        <v>137.505</v>
      </c>
      <c r="G44" s="67" t="n">
        <v>17.240450614032</v>
      </c>
      <c r="H44" s="67" t="n">
        <v>124.89</v>
      </c>
      <c r="I44" s="67" t="n">
        <v>145.8425</v>
      </c>
      <c r="J44" s="67" t="n">
        <v>60.09</v>
      </c>
      <c r="K44" s="67" t="n">
        <v>191.4</v>
      </c>
    </row>
    <row r="45" ht="15" customHeight="1" s="36">
      <c r="A45" s="35" t="inlineStr">
        <is>
          <t>Phi3:3.8b</t>
        </is>
      </c>
      <c r="B45" s="35" t="inlineStr">
        <is>
          <t>Adv Probability &amp; Statistics</t>
        </is>
      </c>
      <c r="C45" s="35" t="inlineStr">
        <is>
          <t>prompt_processing_speed_tps</t>
        </is>
      </c>
      <c r="D45" s="68" t="n">
        <v>1000</v>
      </c>
      <c r="E45" s="67" t="n">
        <v>5112.11881</v>
      </c>
      <c r="F45" s="67" t="n">
        <v>5198.565</v>
      </c>
      <c r="G45" s="67" t="n">
        <v>2552.03024380778</v>
      </c>
      <c r="H45" s="67" t="n">
        <v>3373.2225</v>
      </c>
      <c r="I45" s="67" t="n">
        <v>6732.0125</v>
      </c>
      <c r="J45" s="67" t="n">
        <v>1272.45</v>
      </c>
      <c r="K45" s="67" t="n">
        <v>26669.97</v>
      </c>
    </row>
    <row r="46" ht="15" customHeight="1" s="36">
      <c r="A46" s="35" t="inlineStr">
        <is>
          <t>Phi3:3.8b</t>
        </is>
      </c>
      <c r="B46" s="35" t="inlineStr">
        <is>
          <t>Adv Probability &amp; Statistics</t>
        </is>
      </c>
      <c r="C46" s="35" t="inlineStr">
        <is>
          <t>energy_estimate_wh</t>
        </is>
      </c>
      <c r="D46" s="68" t="n">
        <v>1000</v>
      </c>
      <c r="E46" s="67" t="n">
        <v>0.1174365</v>
      </c>
      <c r="F46" s="67" t="n">
        <v>0.07489999999999999</v>
      </c>
      <c r="G46" s="67" t="n">
        <v>0.248242729219529</v>
      </c>
      <c r="H46" s="67" t="n">
        <v>0.054775</v>
      </c>
      <c r="I46" s="67" t="n">
        <v>0.109025</v>
      </c>
      <c r="J46" s="67" t="n">
        <v>0.0192</v>
      </c>
      <c r="K46" s="67" t="n">
        <v>4.1823</v>
      </c>
    </row>
    <row r="47" ht="15" customHeight="1" s="36">
      <c r="A47" s="35" t="inlineStr">
        <is>
          <t>Phi3:3.8b</t>
        </is>
      </c>
      <c r="B47" s="35" t="inlineStr">
        <is>
          <t>Adv Probability &amp; Statistics</t>
        </is>
      </c>
      <c r="C47" s="35" t="inlineStr">
        <is>
          <t>gpu_power_avg_w</t>
        </is>
      </c>
      <c r="D47" s="68" t="n">
        <v>1000</v>
      </c>
      <c r="E47" s="67" t="n">
        <v>63.8331</v>
      </c>
      <c r="F47" s="67" t="n">
        <v>62.4</v>
      </c>
      <c r="G47" s="67" t="n">
        <v>14.7491115217385</v>
      </c>
      <c r="H47" s="67" t="n">
        <v>52.8</v>
      </c>
      <c r="I47" s="67" t="n">
        <v>73.825</v>
      </c>
      <c r="J47" s="67" t="n">
        <v>26.5</v>
      </c>
      <c r="K47" s="67" t="n">
        <v>105.6</v>
      </c>
    </row>
    <row r="48" ht="15" customHeight="1" s="36">
      <c r="A48" s="35" t="inlineStr">
        <is>
          <t>Phi3:3.8b</t>
        </is>
      </c>
      <c r="B48" s="35" t="inlineStr">
        <is>
          <t>Adv Probability &amp; Statistics</t>
        </is>
      </c>
      <c r="C48" s="35" t="inlineStr">
        <is>
          <t>gpu_vram_peak_mb</t>
        </is>
      </c>
      <c r="D48" s="68" t="n">
        <v>1000</v>
      </c>
      <c r="E48" s="67" t="n">
        <v>5817.292</v>
      </c>
      <c r="F48" s="67" t="n">
        <v>5817.3</v>
      </c>
      <c r="G48" s="67" t="n">
        <v>0.126301037018514</v>
      </c>
      <c r="H48" s="67" t="n">
        <v>5817.3</v>
      </c>
      <c r="I48" s="67" t="n">
        <v>5817.3</v>
      </c>
      <c r="J48" s="67" t="n">
        <v>5815.3</v>
      </c>
      <c r="K48" s="67" t="n">
        <v>5817.3</v>
      </c>
    </row>
    <row r="49" ht="15" customHeight="1" s="36">
      <c r="A49" s="35" t="inlineStr">
        <is>
          <t>Phi3:3.8b</t>
        </is>
      </c>
      <c r="B49" s="35" t="inlineStr">
        <is>
          <t>Adv Probability &amp; Statistics</t>
        </is>
      </c>
      <c r="C49" s="35" t="inlineStr">
        <is>
          <t>ram_peak_mb</t>
        </is>
      </c>
      <c r="D49" s="68" t="n">
        <v>1000</v>
      </c>
      <c r="E49" s="67" t="n">
        <v>27047.653</v>
      </c>
      <c r="F49" s="67" t="n">
        <v>27067.25</v>
      </c>
      <c r="G49" s="67" t="n">
        <v>116.618176242085</v>
      </c>
      <c r="H49" s="67" t="n">
        <v>26998.1</v>
      </c>
      <c r="I49" s="67" t="n">
        <v>27119.25</v>
      </c>
      <c r="J49" s="67" t="n">
        <v>26630.4</v>
      </c>
      <c r="K49" s="67" t="n">
        <v>27364.9</v>
      </c>
    </row>
    <row r="50" ht="15" customHeight="1" s="36">
      <c r="A50" s="35" t="inlineStr">
        <is>
          <t>Phi3:3.8b</t>
        </is>
      </c>
      <c r="B50" s="35" t="inlineStr">
        <is>
          <t>Calculus I</t>
        </is>
      </c>
      <c r="C50" s="35" t="inlineStr">
        <is>
          <t>processing_time_s</t>
        </is>
      </c>
      <c r="D50" s="68" t="n">
        <v>900</v>
      </c>
      <c r="E50" s="67" t="n">
        <v>12.7450470042229</v>
      </c>
      <c r="F50" s="67" t="n">
        <v>9.32908511161804</v>
      </c>
      <c r="G50" s="67" t="n">
        <v>11.7474207439997</v>
      </c>
      <c r="H50" s="67" t="n">
        <v>5.24247884750366</v>
      </c>
      <c r="I50" s="67" t="n">
        <v>18.4275113940239</v>
      </c>
      <c r="J50" s="67" t="n">
        <v>2.77367830276489</v>
      </c>
      <c r="K50" s="67" t="n">
        <v>223.797436475754</v>
      </c>
    </row>
    <row r="51" ht="15" customHeight="1" s="36">
      <c r="A51" s="35" t="inlineStr">
        <is>
          <t>Phi3:3.8b</t>
        </is>
      </c>
      <c r="B51" s="35" t="inlineStr">
        <is>
          <t>Calculus I</t>
        </is>
      </c>
      <c r="C51" s="35" t="inlineStr">
        <is>
          <t>total_duration_s</t>
        </is>
      </c>
      <c r="D51" s="68" t="n">
        <v>900</v>
      </c>
      <c r="E51" s="67" t="n">
        <v>10.6849424444444</v>
      </c>
      <c r="F51" s="67" t="n">
        <v>7.2545</v>
      </c>
      <c r="G51" s="67" t="n">
        <v>11.7355993014457</v>
      </c>
      <c r="H51" s="67" t="n">
        <v>3.199675</v>
      </c>
      <c r="I51" s="67" t="n">
        <v>16.349875</v>
      </c>
      <c r="J51" s="67" t="n">
        <v>0.7066</v>
      </c>
      <c r="K51" s="67" t="n">
        <v>221.674</v>
      </c>
    </row>
    <row r="52" ht="15" customHeight="1" s="36">
      <c r="A52" s="35" t="inlineStr">
        <is>
          <t>Phi3:3.8b</t>
        </is>
      </c>
      <c r="B52" s="35" t="inlineStr">
        <is>
          <t>Calculus I</t>
        </is>
      </c>
      <c r="C52" s="35" t="inlineStr">
        <is>
          <t>eval_duration_s</t>
        </is>
      </c>
      <c r="D52" s="68" t="n">
        <v>900</v>
      </c>
      <c r="E52" s="67" t="n">
        <v>9.13651344444445</v>
      </c>
      <c r="F52" s="67" t="n">
        <v>6.10825</v>
      </c>
      <c r="G52" s="67" t="n">
        <v>10.8337412904271</v>
      </c>
      <c r="H52" s="67" t="n">
        <v>2.786075</v>
      </c>
      <c r="I52" s="67" t="n">
        <v>14.207725</v>
      </c>
      <c r="J52" s="67" t="n">
        <v>0.4116</v>
      </c>
      <c r="K52" s="67" t="n">
        <v>213.9999</v>
      </c>
    </row>
    <row r="53" ht="15" customHeight="1" s="36">
      <c r="A53" s="35" t="inlineStr">
        <is>
          <t>Phi3:3.8b</t>
        </is>
      </c>
      <c r="B53" s="35" t="inlineStr">
        <is>
          <t>Calculus I</t>
        </is>
      </c>
      <c r="C53" s="35" t="inlineStr">
        <is>
          <t>eval_count</t>
        </is>
      </c>
      <c r="D53" s="68" t="n">
        <v>900</v>
      </c>
      <c r="E53" s="67" t="n">
        <v>1189.3</v>
      </c>
      <c r="F53" s="67" t="n">
        <v>856.5</v>
      </c>
      <c r="G53" s="67" t="n">
        <v>1081.24699309027</v>
      </c>
      <c r="H53" s="67" t="n">
        <v>367.75</v>
      </c>
      <c r="I53" s="67" t="n">
        <v>1865.5</v>
      </c>
      <c r="J53" s="67" t="n">
        <v>56</v>
      </c>
      <c r="K53" s="67" t="n">
        <v>16384</v>
      </c>
    </row>
    <row r="54" ht="15" customHeight="1" s="36">
      <c r="A54" s="35" t="inlineStr">
        <is>
          <t>Phi3:3.8b</t>
        </is>
      </c>
      <c r="B54" s="35" t="inlineStr">
        <is>
          <t>Calculus I</t>
        </is>
      </c>
      <c r="C54" s="35" t="inlineStr">
        <is>
          <t>prompt_eval_count</t>
        </is>
      </c>
      <c r="D54" s="68" t="n">
        <v>900</v>
      </c>
      <c r="E54" s="67" t="n">
        <v>348.445555555556</v>
      </c>
      <c r="F54" s="67" t="n">
        <v>347</v>
      </c>
      <c r="G54" s="67" t="n">
        <v>7.12187969824591</v>
      </c>
      <c r="H54" s="67" t="n">
        <v>342</v>
      </c>
      <c r="I54" s="67" t="n">
        <v>352</v>
      </c>
      <c r="J54" s="67" t="n">
        <v>341</v>
      </c>
      <c r="K54" s="67" t="n">
        <v>374</v>
      </c>
    </row>
    <row r="55" ht="15" customHeight="1" s="36">
      <c r="A55" s="35" t="inlineStr">
        <is>
          <t>Phi3:3.8b</t>
        </is>
      </c>
      <c r="B55" s="35" t="inlineStr">
        <is>
          <t>Calculus I</t>
        </is>
      </c>
      <c r="C55" s="35" t="inlineStr">
        <is>
          <t>generation_speed_tps</t>
        </is>
      </c>
      <c r="D55" s="68" t="n">
        <v>900</v>
      </c>
      <c r="E55" s="67" t="n">
        <v>133.0775</v>
      </c>
      <c r="F55" s="67" t="n">
        <v>132.205</v>
      </c>
      <c r="G55" s="67" t="n">
        <v>11.9009480499799</v>
      </c>
      <c r="H55" s="67" t="n">
        <v>125.9975</v>
      </c>
      <c r="I55" s="67" t="n">
        <v>140.6925</v>
      </c>
      <c r="J55" s="67" t="n">
        <v>76.56</v>
      </c>
      <c r="K55" s="67" t="n">
        <v>181.14</v>
      </c>
    </row>
    <row r="56" ht="15" customHeight="1" s="36">
      <c r="A56" s="35" t="inlineStr">
        <is>
          <t>Phi3:3.8b</t>
        </is>
      </c>
      <c r="B56" s="35" t="inlineStr">
        <is>
          <t>Calculus I</t>
        </is>
      </c>
      <c r="C56" s="35" t="inlineStr">
        <is>
          <t>prompt_processing_speed_tps</t>
        </is>
      </c>
      <c r="D56" s="68" t="n">
        <v>900</v>
      </c>
      <c r="E56" s="67" t="n">
        <v>5765.48132222222</v>
      </c>
      <c r="F56" s="67" t="n">
        <v>6073.01</v>
      </c>
      <c r="G56" s="67" t="n">
        <v>2143.29819372873</v>
      </c>
      <c r="H56" s="67" t="n">
        <v>3616.04</v>
      </c>
      <c r="I56" s="67" t="n">
        <v>7279.4425</v>
      </c>
      <c r="J56" s="67" t="n">
        <v>1210.25</v>
      </c>
      <c r="K56" s="67" t="n">
        <v>15827.29</v>
      </c>
    </row>
    <row r="57" ht="15" customHeight="1" s="36">
      <c r="A57" s="35" t="inlineStr">
        <is>
          <t>Phi3:3.8b</t>
        </is>
      </c>
      <c r="B57" s="35" t="inlineStr">
        <is>
          <t>Calculus I</t>
        </is>
      </c>
      <c r="C57" s="35" t="inlineStr">
        <is>
          <t>energy_estimate_wh</t>
        </is>
      </c>
      <c r="D57" s="68" t="n">
        <v>900</v>
      </c>
      <c r="E57" s="67" t="n">
        <v>0.302058</v>
      </c>
      <c r="F57" s="67" t="n">
        <v>0.2103</v>
      </c>
      <c r="G57" s="67" t="n">
        <v>0.304244021573808</v>
      </c>
      <c r="H57" s="67" t="n">
        <v>0.10635</v>
      </c>
      <c r="I57" s="67" t="n">
        <v>0.458425</v>
      </c>
      <c r="J57" s="67" t="n">
        <v>0.0243</v>
      </c>
      <c r="K57" s="67" t="n">
        <v>5.6759</v>
      </c>
    </row>
    <row r="58" ht="15" customHeight="1" s="36">
      <c r="A58" s="35" t="inlineStr">
        <is>
          <t>Phi3:3.8b</t>
        </is>
      </c>
      <c r="B58" s="35" t="inlineStr">
        <is>
          <t>Calculus I</t>
        </is>
      </c>
      <c r="C58" s="35" t="inlineStr">
        <is>
          <t>gpu_power_avg_w</t>
        </is>
      </c>
      <c r="D58" s="68" t="n">
        <v>900</v>
      </c>
      <c r="E58" s="67" t="n">
        <v>78.8152222222222</v>
      </c>
      <c r="F58" s="67" t="n">
        <v>82.40000000000001</v>
      </c>
      <c r="G58" s="67" t="n">
        <v>13.1187102183336</v>
      </c>
      <c r="H58" s="67" t="n">
        <v>71.59999999999999</v>
      </c>
      <c r="I58" s="67" t="n">
        <v>89.09999999999999</v>
      </c>
      <c r="J58" s="67" t="n">
        <v>28.7</v>
      </c>
      <c r="K58" s="67" t="n">
        <v>99.90000000000001</v>
      </c>
    </row>
    <row r="59" ht="15" customHeight="1" s="36">
      <c r="A59" s="35" t="inlineStr">
        <is>
          <t>Phi3:3.8b</t>
        </is>
      </c>
      <c r="B59" s="35" t="inlineStr">
        <is>
          <t>Calculus I</t>
        </is>
      </c>
      <c r="C59" s="35" t="inlineStr">
        <is>
          <t>gpu_vram_peak_mb</t>
        </is>
      </c>
      <c r="D59" s="68" t="n">
        <v>900</v>
      </c>
      <c r="E59" s="67" t="n">
        <v>5927.46822222223</v>
      </c>
      <c r="F59" s="67" t="n">
        <v>5817.3</v>
      </c>
      <c r="G59" s="67" t="n">
        <v>122.080316070689</v>
      </c>
      <c r="H59" s="67" t="n">
        <v>5817.3</v>
      </c>
      <c r="I59" s="67" t="n">
        <v>6069.1</v>
      </c>
      <c r="J59" s="67" t="n">
        <v>5817.3</v>
      </c>
      <c r="K59" s="67" t="n">
        <v>6069.1</v>
      </c>
    </row>
    <row r="60" ht="15" customHeight="1" s="36">
      <c r="A60" s="35" t="inlineStr">
        <is>
          <t>Phi3:3.8b</t>
        </is>
      </c>
      <c r="B60" s="35" t="inlineStr">
        <is>
          <t>Calculus I</t>
        </is>
      </c>
      <c r="C60" s="35" t="inlineStr">
        <is>
          <t>ram_peak_mb</t>
        </is>
      </c>
      <c r="D60" s="68" t="n">
        <v>900</v>
      </c>
      <c r="E60" s="67" t="n">
        <v>27217.6</v>
      </c>
      <c r="F60" s="67" t="n">
        <v>27209.95</v>
      </c>
      <c r="G60" s="67" t="n">
        <v>466.538759917122</v>
      </c>
      <c r="H60" s="67" t="n">
        <v>27060.425</v>
      </c>
      <c r="I60" s="67" t="n">
        <v>27585.975</v>
      </c>
      <c r="J60" s="67" t="n">
        <v>26042.7</v>
      </c>
      <c r="K60" s="67" t="n">
        <v>28452.7</v>
      </c>
    </row>
    <row r="61" ht="15" customHeight="1" s="36">
      <c r="A61" s="35" t="inlineStr">
        <is>
          <t>Phi3:3.8b</t>
        </is>
      </c>
      <c r="B61" s="35" t="inlineStr">
        <is>
          <t>Grade 8 Math</t>
        </is>
      </c>
      <c r="C61" s="35" t="inlineStr">
        <is>
          <t>processing_time_s</t>
        </is>
      </c>
      <c r="D61" s="68" t="n">
        <v>644</v>
      </c>
      <c r="E61" s="67" t="n">
        <v>5.96596162918932</v>
      </c>
      <c r="F61" s="67" t="n">
        <v>4.17391955852509</v>
      </c>
      <c r="G61" s="67" t="n">
        <v>12.0234866829278</v>
      </c>
      <c r="H61" s="67" t="n">
        <v>3.53659838438034</v>
      </c>
      <c r="I61" s="67" t="n">
        <v>5.09241628646851</v>
      </c>
      <c r="J61" s="67" t="n">
        <v>2.293053150177</v>
      </c>
      <c r="K61" s="67" t="n">
        <v>225.717999458313</v>
      </c>
    </row>
    <row r="62" ht="15" customHeight="1" s="36">
      <c r="A62" s="35" t="inlineStr">
        <is>
          <t>Phi3:3.8b</t>
        </is>
      </c>
      <c r="B62" s="35" t="inlineStr">
        <is>
          <t>Grade 8 Math</t>
        </is>
      </c>
      <c r="C62" s="35" t="inlineStr">
        <is>
          <t>total_duration_s</t>
        </is>
      </c>
      <c r="D62" s="68" t="n">
        <v>643</v>
      </c>
      <c r="E62" s="67" t="n">
        <v>3.91274043545879</v>
      </c>
      <c r="F62" s="67" t="n">
        <v>2.1334</v>
      </c>
      <c r="G62" s="67" t="n">
        <v>12.0284284428831</v>
      </c>
      <c r="H62" s="67" t="n">
        <v>1.4834</v>
      </c>
      <c r="I62" s="67" t="n">
        <v>3.0196</v>
      </c>
      <c r="J62" s="67" t="n">
        <v>0.3945</v>
      </c>
      <c r="K62" s="67" t="n">
        <v>223.569</v>
      </c>
    </row>
    <row r="63" ht="15" customHeight="1" s="36">
      <c r="A63" s="35" t="inlineStr">
        <is>
          <t>Phi3:3.8b</t>
        </is>
      </c>
      <c r="B63" s="35" t="inlineStr">
        <is>
          <t>Grade 8 Math</t>
        </is>
      </c>
      <c r="C63" s="35" t="inlineStr">
        <is>
          <t>eval_duration_s</t>
        </is>
      </c>
      <c r="D63" s="68" t="n">
        <v>643</v>
      </c>
      <c r="E63" s="67" t="n">
        <v>3.08147247278383</v>
      </c>
      <c r="F63" s="67" t="n">
        <v>1.5811</v>
      </c>
      <c r="G63" s="67" t="n">
        <v>10.1240744833828</v>
      </c>
      <c r="H63" s="67" t="n">
        <v>1.06085</v>
      </c>
      <c r="I63" s="67" t="n">
        <v>2.3936</v>
      </c>
      <c r="J63" s="67" t="n">
        <v>0.0539</v>
      </c>
      <c r="K63" s="67" t="n">
        <v>187.0628</v>
      </c>
    </row>
    <row r="64" ht="15" customHeight="1" s="36">
      <c r="A64" s="35" t="inlineStr">
        <is>
          <t>Phi3:3.8b</t>
        </is>
      </c>
      <c r="B64" s="35" t="inlineStr">
        <is>
          <t>Grade 8 Math</t>
        </is>
      </c>
      <c r="C64" s="35" t="inlineStr">
        <is>
          <t>eval_count</t>
        </is>
      </c>
      <c r="D64" s="68" t="n">
        <v>643</v>
      </c>
      <c r="E64" s="67" t="n">
        <v>401.283048211509</v>
      </c>
      <c r="F64" s="67" t="n">
        <v>217</v>
      </c>
      <c r="G64" s="67" t="n">
        <v>951.512865306103</v>
      </c>
      <c r="H64" s="67" t="n">
        <v>138</v>
      </c>
      <c r="I64" s="67" t="n">
        <v>340.5</v>
      </c>
      <c r="J64" s="67" t="n">
        <v>9</v>
      </c>
      <c r="K64" s="67" t="n">
        <v>16384</v>
      </c>
    </row>
    <row r="65" ht="15" customHeight="1" s="36">
      <c r="A65" s="35" t="inlineStr">
        <is>
          <t>Phi3:3.8b</t>
        </is>
      </c>
      <c r="B65" s="35" t="inlineStr">
        <is>
          <t>Grade 8 Math</t>
        </is>
      </c>
      <c r="C65" s="35" t="inlineStr">
        <is>
          <t>prompt_eval_count</t>
        </is>
      </c>
      <c r="D65" s="68" t="n">
        <v>643</v>
      </c>
      <c r="E65" s="67" t="n">
        <v>360.936236391913</v>
      </c>
      <c r="F65" s="67" t="n">
        <v>358</v>
      </c>
      <c r="G65" s="67" t="n">
        <v>12.5704485636134</v>
      </c>
      <c r="H65" s="67" t="n">
        <v>352</v>
      </c>
      <c r="I65" s="67" t="n">
        <v>366</v>
      </c>
      <c r="J65" s="67" t="n">
        <v>343</v>
      </c>
      <c r="K65" s="67" t="n">
        <v>413</v>
      </c>
    </row>
    <row r="66" ht="15" customHeight="1" s="36">
      <c r="A66" s="35" t="inlineStr">
        <is>
          <t>Phi3:3.8b</t>
        </is>
      </c>
      <c r="B66" s="35" t="inlineStr">
        <is>
          <t>Grade 8 Math</t>
        </is>
      </c>
      <c r="C66" s="35" t="inlineStr">
        <is>
          <t>generation_speed_tps</t>
        </is>
      </c>
      <c r="D66" s="68" t="n">
        <v>643</v>
      </c>
      <c r="E66" s="67" t="n">
        <v>135.132208398134</v>
      </c>
      <c r="F66" s="67" t="n">
        <v>137.22</v>
      </c>
      <c r="G66" s="67" t="n">
        <v>17.5118425734665</v>
      </c>
      <c r="H66" s="67" t="n">
        <v>123.07</v>
      </c>
      <c r="I66" s="67" t="n">
        <v>146.235</v>
      </c>
      <c r="J66" s="67" t="n">
        <v>73.8</v>
      </c>
      <c r="K66" s="67" t="n">
        <v>208.82</v>
      </c>
    </row>
    <row r="67" ht="15" customHeight="1" s="36">
      <c r="A67" s="35" t="inlineStr">
        <is>
          <t>Phi3:3.8b</t>
        </is>
      </c>
      <c r="B67" s="35" t="inlineStr">
        <is>
          <t>Grade 8 Math</t>
        </is>
      </c>
      <c r="C67" s="35" t="inlineStr">
        <is>
          <t>prompt_processing_speed_tps</t>
        </is>
      </c>
      <c r="D67" s="68" t="n">
        <v>643</v>
      </c>
      <c r="E67" s="67" t="n">
        <v>6802.02356143079</v>
      </c>
      <c r="F67" s="67" t="n">
        <v>7354.77</v>
      </c>
      <c r="G67" s="67" t="n">
        <v>3367.46516579461</v>
      </c>
      <c r="H67" s="67" t="n">
        <v>3859.845</v>
      </c>
      <c r="I67" s="67" t="n">
        <v>9004</v>
      </c>
      <c r="J67" s="67" t="n">
        <v>1200.02</v>
      </c>
      <c r="K67" s="67" t="n">
        <v>20904.23</v>
      </c>
    </row>
    <row r="68" ht="15" customHeight="1" s="36">
      <c r="A68" s="35" t="inlineStr">
        <is>
          <t>Phi3:3.8b</t>
        </is>
      </c>
      <c r="B68" s="35" t="inlineStr">
        <is>
          <t>Grade 8 Math</t>
        </is>
      </c>
      <c r="C68" s="35" t="inlineStr">
        <is>
          <t>energy_estimate_wh</t>
        </is>
      </c>
      <c r="D68" s="68" t="n">
        <v>644</v>
      </c>
      <c r="E68" s="67" t="n">
        <v>0.123669254658385</v>
      </c>
      <c r="F68" s="67" t="n">
        <v>0.0728</v>
      </c>
      <c r="G68" s="67" t="n">
        <v>0.303354794899052</v>
      </c>
      <c r="H68" s="67" t="n">
        <v>0.0534</v>
      </c>
      <c r="I68" s="67" t="n">
        <v>0.103175</v>
      </c>
      <c r="J68" s="67" t="n">
        <v>0.0121</v>
      </c>
      <c r="K68" s="67" t="n">
        <v>5.634</v>
      </c>
    </row>
    <row r="69" ht="15" customHeight="1" s="36">
      <c r="A69" s="35" t="inlineStr">
        <is>
          <t>Phi3:3.8b</t>
        </is>
      </c>
      <c r="B69" s="35" t="inlineStr">
        <is>
          <t>Grade 8 Math</t>
        </is>
      </c>
      <c r="C69" s="35" t="inlineStr">
        <is>
          <t>gpu_power_avg_w</t>
        </is>
      </c>
      <c r="D69" s="68" t="n">
        <v>644</v>
      </c>
      <c r="E69" s="67" t="n">
        <v>65.02111801242241</v>
      </c>
      <c r="F69" s="67" t="n">
        <v>63.6</v>
      </c>
      <c r="G69" s="67" t="n">
        <v>14.8441175909155</v>
      </c>
      <c r="H69" s="67" t="n">
        <v>54.5</v>
      </c>
      <c r="I69" s="67" t="n">
        <v>73.825</v>
      </c>
      <c r="J69" s="67" t="n">
        <v>14.4</v>
      </c>
      <c r="K69" s="67" t="n">
        <v>107.5</v>
      </c>
    </row>
    <row r="70" ht="15" customHeight="1" s="36">
      <c r="A70" s="35" t="inlineStr">
        <is>
          <t>Phi3:3.8b</t>
        </is>
      </c>
      <c r="B70" s="35" t="inlineStr">
        <is>
          <t>Grade 8 Math</t>
        </is>
      </c>
      <c r="C70" s="35" t="inlineStr">
        <is>
          <t>gpu_vram_peak_mb</t>
        </is>
      </c>
      <c r="D70" s="68" t="n">
        <v>644</v>
      </c>
      <c r="E70" s="67" t="n">
        <v>5817.25652173913</v>
      </c>
      <c r="F70" s="67" t="n">
        <v>5817.3</v>
      </c>
      <c r="G70" s="67" t="n">
        <v>0.291887749509313</v>
      </c>
      <c r="H70" s="67" t="n">
        <v>5817.3</v>
      </c>
      <c r="I70" s="67" t="n">
        <v>5817.3</v>
      </c>
      <c r="J70" s="67" t="n">
        <v>5815.3</v>
      </c>
      <c r="K70" s="67" t="n">
        <v>5817.3</v>
      </c>
    </row>
    <row r="71" ht="15" customHeight="1" s="36">
      <c r="A71" s="35" t="inlineStr">
        <is>
          <t>Phi3:3.8b</t>
        </is>
      </c>
      <c r="B71" s="35" t="inlineStr">
        <is>
          <t>Grade 8 Math</t>
        </is>
      </c>
      <c r="C71" s="35" t="inlineStr">
        <is>
          <t>ram_peak_mb</t>
        </is>
      </c>
      <c r="D71" s="68" t="n">
        <v>644</v>
      </c>
      <c r="E71" s="67" t="n">
        <v>27066.4619565217</v>
      </c>
      <c r="F71" s="67" t="n">
        <v>27055.65</v>
      </c>
      <c r="G71" s="67" t="n">
        <v>78.6233430639314</v>
      </c>
      <c r="H71" s="67" t="n">
        <v>27022.575</v>
      </c>
      <c r="I71" s="67" t="n">
        <v>27099.65</v>
      </c>
      <c r="J71" s="67" t="n">
        <v>26908.5</v>
      </c>
      <c r="K71" s="67" t="n">
        <v>27407.9</v>
      </c>
    </row>
    <row r="72" ht="15" customHeight="1" s="36">
      <c r="A72" s="35" t="inlineStr">
        <is>
          <t>Qwen3:4b</t>
        </is>
      </c>
      <c r="B72" s="35" t="inlineStr">
        <is>
          <t>Adv Probability &amp; Statistics</t>
        </is>
      </c>
      <c r="C72" s="35" t="inlineStr">
        <is>
          <t>processing_time_s</t>
        </is>
      </c>
      <c r="D72" s="68" t="n">
        <v>1000</v>
      </c>
      <c r="E72" s="67" t="n">
        <v>21.3564248445034</v>
      </c>
      <c r="F72" s="67" t="n">
        <v>18.3602333068848</v>
      </c>
      <c r="G72" s="67" t="n">
        <v>9.45961505448359</v>
      </c>
      <c r="H72" s="67" t="n">
        <v>14.679258286953</v>
      </c>
      <c r="I72" s="67" t="n">
        <v>25.2484923005104</v>
      </c>
      <c r="J72" s="67" t="n">
        <v>9.00348901748657</v>
      </c>
      <c r="K72" s="67" t="n">
        <v>69.3629212379456</v>
      </c>
    </row>
    <row r="73" ht="15" customHeight="1" s="36">
      <c r="A73" s="35" t="inlineStr">
        <is>
          <t>Qwen3:4b</t>
        </is>
      </c>
      <c r="B73" s="35" t="inlineStr">
        <is>
          <t>Adv Probability &amp; Statistics</t>
        </is>
      </c>
      <c r="C73" s="35" t="inlineStr">
        <is>
          <t>total_duration_s</t>
        </is>
      </c>
      <c r="D73" s="68" t="n">
        <v>1000</v>
      </c>
      <c r="E73" s="67" t="n">
        <v>19.2950489</v>
      </c>
      <c r="F73" s="67" t="n">
        <v>16.296</v>
      </c>
      <c r="G73" s="67" t="n">
        <v>9.454515350282509</v>
      </c>
      <c r="H73" s="67" t="n">
        <v>12.618175</v>
      </c>
      <c r="I73" s="67" t="n">
        <v>23.196475</v>
      </c>
      <c r="J73" s="67" t="n">
        <v>7.1306</v>
      </c>
      <c r="K73" s="67" t="n">
        <v>67.2893</v>
      </c>
    </row>
    <row r="74" ht="15" customHeight="1" s="36">
      <c r="A74" s="35" t="inlineStr">
        <is>
          <t>Qwen3:4b</t>
        </is>
      </c>
      <c r="B74" s="35" t="inlineStr">
        <is>
          <t>Adv Probability &amp; Statistics</t>
        </is>
      </c>
      <c r="C74" s="35" t="inlineStr">
        <is>
          <t>eval_duration_s</t>
        </is>
      </c>
      <c r="D74" s="68" t="n">
        <v>1000</v>
      </c>
      <c r="E74" s="67" t="n">
        <v>18.3004051</v>
      </c>
      <c r="F74" s="67" t="n">
        <v>15.39255</v>
      </c>
      <c r="G74" s="67" t="n">
        <v>9.245326450362789</v>
      </c>
      <c r="H74" s="67" t="n">
        <v>11.7896</v>
      </c>
      <c r="I74" s="67" t="n">
        <v>22.0705</v>
      </c>
      <c r="J74" s="67" t="n">
        <v>6.2999</v>
      </c>
      <c r="K74" s="67" t="n">
        <v>65.3355</v>
      </c>
    </row>
    <row r="75" ht="15" customHeight="1" s="36">
      <c r="A75" s="35" t="inlineStr">
        <is>
          <t>Qwen3:4b</t>
        </is>
      </c>
      <c r="B75" s="35" t="inlineStr">
        <is>
          <t>Adv Probability &amp; Statistics</t>
        </is>
      </c>
      <c r="C75" s="35" t="inlineStr">
        <is>
          <t>eval_count</t>
        </is>
      </c>
      <c r="D75" s="68" t="n">
        <v>1000</v>
      </c>
      <c r="E75" s="67" t="n">
        <v>1507.469</v>
      </c>
      <c r="F75" s="67" t="n">
        <v>1262.5</v>
      </c>
      <c r="G75" s="67" t="n">
        <v>743.152505671404</v>
      </c>
      <c r="H75" s="67" t="n">
        <v>985.75</v>
      </c>
      <c r="I75" s="67" t="n">
        <v>1835.5</v>
      </c>
      <c r="J75" s="67" t="n">
        <v>568</v>
      </c>
      <c r="K75" s="67" t="n">
        <v>5239</v>
      </c>
    </row>
    <row r="76" ht="15" customHeight="1" s="36">
      <c r="A76" s="35" t="inlineStr">
        <is>
          <t>Qwen3:4b</t>
        </is>
      </c>
      <c r="B76" s="35" t="inlineStr">
        <is>
          <t>Adv Probability &amp; Statistics</t>
        </is>
      </c>
      <c r="C76" s="35" t="inlineStr">
        <is>
          <t>prompt_eval_count</t>
        </is>
      </c>
      <c r="D76" s="68" t="n">
        <v>1000</v>
      </c>
      <c r="E76" s="67" t="n">
        <v>312.629</v>
      </c>
      <c r="F76" s="67" t="n">
        <v>310</v>
      </c>
      <c r="G76" s="67" t="n">
        <v>22.3137908985512</v>
      </c>
      <c r="H76" s="67" t="n">
        <v>294</v>
      </c>
      <c r="I76" s="67" t="n">
        <v>318</v>
      </c>
      <c r="J76" s="67" t="n">
        <v>290</v>
      </c>
      <c r="K76" s="67" t="n">
        <v>377</v>
      </c>
    </row>
    <row r="77" ht="15" customHeight="1" s="36">
      <c r="A77" s="35" t="inlineStr">
        <is>
          <t>Qwen3:4b</t>
        </is>
      </c>
      <c r="B77" s="35" t="inlineStr">
        <is>
          <t>Adv Probability &amp; Statistics</t>
        </is>
      </c>
      <c r="C77" s="35" t="inlineStr">
        <is>
          <t>generation_speed_tps</t>
        </is>
      </c>
      <c r="D77" s="68" t="n">
        <v>1000</v>
      </c>
      <c r="E77" s="67" t="n">
        <v>82.9297</v>
      </c>
      <c r="F77" s="67" t="n">
        <v>82.2</v>
      </c>
      <c r="G77" s="67" t="n">
        <v>5.52667495389823</v>
      </c>
      <c r="H77" s="67" t="n">
        <v>80.575</v>
      </c>
      <c r="I77" s="67" t="n">
        <v>83.80500000000001</v>
      </c>
      <c r="J77" s="67" t="n">
        <v>63.19</v>
      </c>
      <c r="K77" s="67" t="n">
        <v>113.92</v>
      </c>
    </row>
    <row r="78" ht="15" customHeight="1" s="36">
      <c r="A78" s="35" t="inlineStr">
        <is>
          <t>Qwen3:4b</t>
        </is>
      </c>
      <c r="B78" s="35" t="inlineStr">
        <is>
          <t>Adv Probability &amp; Statistics</t>
        </is>
      </c>
      <c r="C78" s="35" t="inlineStr">
        <is>
          <t>prompt_processing_speed_tps</t>
        </is>
      </c>
      <c r="D78" s="68" t="n">
        <v>1000</v>
      </c>
      <c r="E78" s="67" t="n">
        <v>3365.6644</v>
      </c>
      <c r="F78" s="67" t="n">
        <v>3399.185</v>
      </c>
      <c r="G78" s="67" t="n">
        <v>1022.14506715718</v>
      </c>
      <c r="H78" s="67" t="n">
        <v>2595.3575</v>
      </c>
      <c r="I78" s="67" t="n">
        <v>4037.18</v>
      </c>
      <c r="J78" s="67" t="n">
        <v>867.89</v>
      </c>
      <c r="K78" s="67" t="n">
        <v>14059.79</v>
      </c>
    </row>
    <row r="79" ht="15" customHeight="1" s="36">
      <c r="A79" s="35" t="inlineStr">
        <is>
          <t>Qwen3:4b</t>
        </is>
      </c>
      <c r="B79" s="35" t="inlineStr">
        <is>
          <t>Adv Probability &amp; Statistics</t>
        </is>
      </c>
      <c r="C79" s="35" t="inlineStr">
        <is>
          <t>energy_estimate_wh</t>
        </is>
      </c>
      <c r="D79" s="68" t="n">
        <v>1000</v>
      </c>
      <c r="E79" s="67" t="n">
        <v>0.4961365</v>
      </c>
      <c r="F79" s="67" t="n">
        <v>0.4221</v>
      </c>
      <c r="G79" s="67" t="n">
        <v>0.237324854122222</v>
      </c>
      <c r="H79" s="67" t="n">
        <v>0.32885</v>
      </c>
      <c r="I79" s="67" t="n">
        <v>0.59975</v>
      </c>
      <c r="J79" s="67" t="n">
        <v>0.1907</v>
      </c>
      <c r="K79" s="67" t="n">
        <v>1.7666</v>
      </c>
    </row>
    <row r="80" ht="15" customHeight="1" s="36">
      <c r="A80" s="35" t="inlineStr">
        <is>
          <t>Qwen3:4b</t>
        </is>
      </c>
      <c r="B80" s="35" t="inlineStr">
        <is>
          <t>Adv Probability &amp; Statistics</t>
        </is>
      </c>
      <c r="C80" s="35" t="inlineStr">
        <is>
          <t>gpu_power_avg_w</t>
        </is>
      </c>
      <c r="D80" s="68" t="n">
        <v>1000</v>
      </c>
      <c r="E80" s="67" t="n">
        <v>82.75190000000001</v>
      </c>
      <c r="F80" s="67" t="n">
        <v>83.5</v>
      </c>
      <c r="G80" s="67" t="n">
        <v>5.58251922620164</v>
      </c>
      <c r="H80" s="67" t="n">
        <v>79.575</v>
      </c>
      <c r="I80" s="67" t="n">
        <v>86.8</v>
      </c>
      <c r="J80" s="67" t="n">
        <v>50.2</v>
      </c>
      <c r="K80" s="67" t="n">
        <v>106</v>
      </c>
    </row>
    <row r="81" ht="15" customHeight="1" s="36">
      <c r="A81" s="35" t="inlineStr">
        <is>
          <t>Qwen3:4b</t>
        </is>
      </c>
      <c r="B81" s="35" t="inlineStr">
        <is>
          <t>Adv Probability &amp; Statistics</t>
        </is>
      </c>
      <c r="C81" s="35" t="inlineStr">
        <is>
          <t>gpu_vram_peak_mb</t>
        </is>
      </c>
      <c r="D81" s="68" t="n">
        <v>1000</v>
      </c>
      <c r="E81" s="67" t="n">
        <v>3758.8085</v>
      </c>
      <c r="F81" s="67" t="n">
        <v>3782.6</v>
      </c>
      <c r="G81" s="67" t="n">
        <v>39.3050488438142</v>
      </c>
      <c r="H81" s="67" t="n">
        <v>3693.1</v>
      </c>
      <c r="I81" s="67" t="n">
        <v>3782.6</v>
      </c>
      <c r="J81" s="67" t="n">
        <v>3693.1</v>
      </c>
      <c r="K81" s="67" t="n">
        <v>3782.6</v>
      </c>
    </row>
    <row r="82" ht="15" customHeight="1" s="36">
      <c r="A82" s="35" t="inlineStr">
        <is>
          <t>Qwen3:4b</t>
        </is>
      </c>
      <c r="B82" s="35" t="inlineStr">
        <is>
          <t>Adv Probability &amp; Statistics</t>
        </is>
      </c>
      <c r="C82" s="35" t="inlineStr">
        <is>
          <t>ram_peak_mb</t>
        </is>
      </c>
      <c r="D82" s="68" t="n">
        <v>1000</v>
      </c>
      <c r="E82" s="67" t="n">
        <v>26935.0248</v>
      </c>
      <c r="F82" s="67" t="n">
        <v>26712.8</v>
      </c>
      <c r="G82" s="67" t="n">
        <v>767.201081140964</v>
      </c>
      <c r="H82" s="67" t="n">
        <v>26618.15</v>
      </c>
      <c r="I82" s="67" t="n">
        <v>26859.625</v>
      </c>
      <c r="J82" s="67" t="n">
        <v>26232.8</v>
      </c>
      <c r="K82" s="67" t="n">
        <v>30970.4</v>
      </c>
    </row>
    <row r="83" ht="15" customHeight="1" s="36">
      <c r="A83" s="35" t="inlineStr">
        <is>
          <t>Qwen3:4b</t>
        </is>
      </c>
      <c r="B83" s="35" t="inlineStr">
        <is>
          <t>Calculus I</t>
        </is>
      </c>
      <c r="C83" s="35" t="inlineStr">
        <is>
          <t>processing_time_s</t>
        </is>
      </c>
      <c r="D83" s="68" t="n">
        <v>900</v>
      </c>
      <c r="E83" s="67" t="n">
        <v>21.6166606797112</v>
      </c>
      <c r="F83" s="67" t="n">
        <v>18.5054392814636</v>
      </c>
      <c r="G83" s="67" t="n">
        <v>11.3778684637871</v>
      </c>
      <c r="H83" s="67" t="n">
        <v>15.3197301626205</v>
      </c>
      <c r="I83" s="67" t="n">
        <v>23.7315042614937</v>
      </c>
      <c r="J83" s="67" t="n">
        <v>10.2564749717712</v>
      </c>
      <c r="K83" s="67" t="n">
        <v>179.134798288345</v>
      </c>
    </row>
    <row r="84" ht="15" customHeight="1" s="36">
      <c r="A84" s="35" t="inlineStr">
        <is>
          <t>Qwen3:4b</t>
        </is>
      </c>
      <c r="B84" s="35" t="inlineStr">
        <is>
          <t>Calculus I</t>
        </is>
      </c>
      <c r="C84" s="35" t="inlineStr">
        <is>
          <t>total_duration_s</t>
        </is>
      </c>
      <c r="D84" s="68" t="n">
        <v>900</v>
      </c>
      <c r="E84" s="67" t="n">
        <v>19.5535782222222</v>
      </c>
      <c r="F84" s="67" t="n">
        <v>16.4398</v>
      </c>
      <c r="G84" s="67" t="n">
        <v>11.375898266811</v>
      </c>
      <c r="H84" s="67" t="n">
        <v>13.25205</v>
      </c>
      <c r="I84" s="67" t="n">
        <v>21.7039</v>
      </c>
      <c r="J84" s="67" t="n">
        <v>8.200799999999999</v>
      </c>
      <c r="K84" s="67" t="n">
        <v>177.0439</v>
      </c>
    </row>
    <row r="85" ht="15" customHeight="1" s="36">
      <c r="A85" s="35" t="inlineStr">
        <is>
          <t>Qwen3:4b</t>
        </is>
      </c>
      <c r="B85" s="35" t="inlineStr">
        <is>
          <t>Calculus I</t>
        </is>
      </c>
      <c r="C85" s="35" t="inlineStr">
        <is>
          <t>eval_duration_s</t>
        </is>
      </c>
      <c r="D85" s="68" t="n">
        <v>900</v>
      </c>
      <c r="E85" s="67" t="n">
        <v>18.592142</v>
      </c>
      <c r="F85" s="67" t="n">
        <v>15.565</v>
      </c>
      <c r="G85" s="67" t="n">
        <v>11.1389594597819</v>
      </c>
      <c r="H85" s="67" t="n">
        <v>12.41135</v>
      </c>
      <c r="I85" s="67" t="n">
        <v>20.698125</v>
      </c>
      <c r="J85" s="67" t="n">
        <v>7.3219</v>
      </c>
      <c r="K85" s="67" t="n">
        <v>172.6763</v>
      </c>
    </row>
    <row r="86" ht="15" customHeight="1" s="36">
      <c r="A86" s="35" t="inlineStr">
        <is>
          <t>Qwen3:4b</t>
        </is>
      </c>
      <c r="B86" s="35" t="inlineStr">
        <is>
          <t>Calculus I</t>
        </is>
      </c>
      <c r="C86" s="35" t="inlineStr">
        <is>
          <t>eval_count</t>
        </is>
      </c>
      <c r="D86" s="68" t="n">
        <v>900</v>
      </c>
      <c r="E86" s="67" t="n">
        <v>1484.52</v>
      </c>
      <c r="F86" s="67" t="n">
        <v>1248.5</v>
      </c>
      <c r="G86" s="67" t="n">
        <v>876.151227188107</v>
      </c>
      <c r="H86" s="67" t="n">
        <v>997.75</v>
      </c>
      <c r="I86" s="67" t="n">
        <v>1649</v>
      </c>
      <c r="J86" s="67" t="n">
        <v>628</v>
      </c>
      <c r="K86" s="67" t="n">
        <v>13792</v>
      </c>
    </row>
    <row r="87" ht="15" customHeight="1" s="36">
      <c r="A87" s="35" t="inlineStr">
        <is>
          <t>Qwen3:4b</t>
        </is>
      </c>
      <c r="B87" s="35" t="inlineStr">
        <is>
          <t>Calculus I</t>
        </is>
      </c>
      <c r="C87" s="35" t="inlineStr">
        <is>
          <t>prompt_eval_count</t>
        </is>
      </c>
      <c r="D87" s="68" t="n">
        <v>900</v>
      </c>
      <c r="E87" s="67" t="n">
        <v>294.19</v>
      </c>
      <c r="F87" s="67" t="n">
        <v>293</v>
      </c>
      <c r="G87" s="67" t="n">
        <v>7.13250638877978</v>
      </c>
      <c r="H87" s="67" t="n">
        <v>288</v>
      </c>
      <c r="I87" s="67" t="n">
        <v>298</v>
      </c>
      <c r="J87" s="67" t="n">
        <v>287</v>
      </c>
      <c r="K87" s="67" t="n">
        <v>320</v>
      </c>
    </row>
    <row r="88" ht="15" customHeight="1" s="36">
      <c r="A88" s="35" t="inlineStr">
        <is>
          <t>Qwen3:4b</t>
        </is>
      </c>
      <c r="B88" s="35" t="inlineStr">
        <is>
          <t>Calculus I</t>
        </is>
      </c>
      <c r="C88" s="35" t="inlineStr">
        <is>
          <t>generation_speed_tps</t>
        </is>
      </c>
      <c r="D88" s="68" t="n">
        <v>900</v>
      </c>
      <c r="E88" s="67" t="n">
        <v>80.1927222222222</v>
      </c>
      <c r="F88" s="67" t="n">
        <v>79.7</v>
      </c>
      <c r="G88" s="67" t="n">
        <v>3.29994155585075</v>
      </c>
      <c r="H88" s="67" t="n">
        <v>78.03</v>
      </c>
      <c r="I88" s="67" t="n">
        <v>81.75749999999999</v>
      </c>
      <c r="J88" s="67" t="n">
        <v>63.19</v>
      </c>
      <c r="K88" s="67" t="n">
        <v>111.85</v>
      </c>
    </row>
    <row r="89" ht="15" customHeight="1" s="36">
      <c r="A89" s="35" t="inlineStr">
        <is>
          <t>Qwen3:4b</t>
        </is>
      </c>
      <c r="B89" s="35" t="inlineStr">
        <is>
          <t>Calculus I</t>
        </is>
      </c>
      <c r="C89" s="35" t="inlineStr">
        <is>
          <t>prompt_processing_speed_tps</t>
        </is>
      </c>
      <c r="D89" s="68" t="n">
        <v>900</v>
      </c>
      <c r="E89" s="67" t="n">
        <v>4000.22401111111</v>
      </c>
      <c r="F89" s="67" t="n">
        <v>4121.435</v>
      </c>
      <c r="G89" s="67" t="n">
        <v>1125.85856387859</v>
      </c>
      <c r="H89" s="67" t="n">
        <v>3621.84</v>
      </c>
      <c r="I89" s="67" t="n">
        <v>4585.35</v>
      </c>
      <c r="J89" s="67" t="n">
        <v>848.7</v>
      </c>
      <c r="K89" s="67" t="n">
        <v>17183.15</v>
      </c>
    </row>
    <row r="90" ht="15" customHeight="1" s="36">
      <c r="A90" s="35" t="inlineStr">
        <is>
          <t>Qwen3:4b</t>
        </is>
      </c>
      <c r="B90" s="35" t="inlineStr">
        <is>
          <t>Calculus I</t>
        </is>
      </c>
      <c r="C90" s="35" t="inlineStr">
        <is>
          <t>energy_estimate_wh</t>
        </is>
      </c>
      <c r="D90" s="68" t="n">
        <v>900</v>
      </c>
      <c r="E90" s="67" t="n">
        <v>0.490309666666667</v>
      </c>
      <c r="F90" s="67" t="n">
        <v>0.41595</v>
      </c>
      <c r="G90" s="67" t="n">
        <v>0.28319812908637</v>
      </c>
      <c r="H90" s="67" t="n">
        <v>0.3382</v>
      </c>
      <c r="I90" s="67" t="n">
        <v>0.539425</v>
      </c>
      <c r="J90" s="67" t="n">
        <v>0.2012</v>
      </c>
      <c r="K90" s="67" t="n">
        <v>4.5573</v>
      </c>
    </row>
    <row r="91" ht="15" customHeight="1" s="36">
      <c r="A91" s="35" t="inlineStr">
        <is>
          <t>Qwen3:4b</t>
        </is>
      </c>
      <c r="B91" s="35" t="inlineStr">
        <is>
          <t>Calculus I</t>
        </is>
      </c>
      <c r="C91" s="35" t="inlineStr">
        <is>
          <t>gpu_power_avg_w</t>
        </is>
      </c>
      <c r="D91" s="68" t="n">
        <v>900</v>
      </c>
      <c r="E91" s="67" t="n">
        <v>80.7755555555556</v>
      </c>
      <c r="F91" s="67" t="n">
        <v>79.2</v>
      </c>
      <c r="G91" s="67" t="n">
        <v>5.89855680980627</v>
      </c>
      <c r="H91" s="67" t="n">
        <v>76.5</v>
      </c>
      <c r="I91" s="67" t="n">
        <v>84.40000000000001</v>
      </c>
      <c r="J91" s="67" t="n">
        <v>70.59999999999999</v>
      </c>
      <c r="K91" s="67" t="n">
        <v>108.3</v>
      </c>
    </row>
    <row r="92" ht="15" customHeight="1" s="36">
      <c r="A92" s="35" t="inlineStr">
        <is>
          <t>Qwen3:4b</t>
        </is>
      </c>
      <c r="B92" s="35" t="inlineStr">
        <is>
          <t>Calculus I</t>
        </is>
      </c>
      <c r="C92" s="35" t="inlineStr">
        <is>
          <t>gpu_vram_peak_mb</t>
        </is>
      </c>
      <c r="D92" s="68" t="n">
        <v>900</v>
      </c>
      <c r="E92" s="67" t="n">
        <v>3615.58811111111</v>
      </c>
      <c r="F92" s="67" t="n">
        <v>3489.8</v>
      </c>
      <c r="G92" s="67" t="n">
        <v>152.87625341231</v>
      </c>
      <c r="H92" s="67" t="n">
        <v>3489.8</v>
      </c>
      <c r="I92" s="67" t="n">
        <v>3780.3</v>
      </c>
      <c r="J92" s="67" t="n">
        <v>3487.8</v>
      </c>
      <c r="K92" s="67" t="n">
        <v>3934.7</v>
      </c>
    </row>
    <row r="93" ht="15" customHeight="1" s="36">
      <c r="A93" s="35" t="inlineStr">
        <is>
          <t>Qwen3:4b</t>
        </is>
      </c>
      <c r="B93" s="35" t="inlineStr">
        <is>
          <t>Calculus I</t>
        </is>
      </c>
      <c r="C93" s="35" t="inlineStr">
        <is>
          <t>ram_peak_mb</t>
        </is>
      </c>
      <c r="D93" s="68" t="n">
        <v>900</v>
      </c>
      <c r="E93" s="67" t="n">
        <v>29196.6713333333</v>
      </c>
      <c r="F93" s="67" t="n">
        <v>30021.75</v>
      </c>
      <c r="G93" s="67" t="n">
        <v>1685.7002851739</v>
      </c>
      <c r="H93" s="67" t="n">
        <v>26832.775</v>
      </c>
      <c r="I93" s="67" t="n">
        <v>30274.05</v>
      </c>
      <c r="J93" s="67" t="n">
        <v>26397.5</v>
      </c>
      <c r="K93" s="67" t="n">
        <v>31648.1</v>
      </c>
    </row>
    <row r="94" ht="15" customHeight="1" s="36">
      <c r="A94" s="35" t="inlineStr">
        <is>
          <t>Qwen3:4b</t>
        </is>
      </c>
      <c r="B94" s="35" t="inlineStr">
        <is>
          <t>Grade 8 Math</t>
        </is>
      </c>
      <c r="C94" s="35" t="inlineStr">
        <is>
          <t>processing_time_s</t>
        </is>
      </c>
      <c r="D94" s="68" t="n">
        <v>644</v>
      </c>
      <c r="E94" s="67" t="n">
        <v>21.1093275187919</v>
      </c>
      <c r="F94" s="67" t="n">
        <v>16.2986398935318</v>
      </c>
      <c r="G94" s="67" t="n">
        <v>12.7619973523371</v>
      </c>
      <c r="H94" s="67" t="n">
        <v>12.9065206050873</v>
      </c>
      <c r="I94" s="67" t="n">
        <v>24.2043605446816</v>
      </c>
      <c r="J94" s="67" t="n">
        <v>7.75662446022034</v>
      </c>
      <c r="K94" s="67" t="n">
        <v>99.7316374778748</v>
      </c>
    </row>
    <row r="95" ht="15" customHeight="1" s="36">
      <c r="A95" s="35" t="inlineStr">
        <is>
          <t>Qwen3:4b</t>
        </is>
      </c>
      <c r="B95" s="35" t="inlineStr">
        <is>
          <t>Grade 8 Math</t>
        </is>
      </c>
      <c r="C95" s="35" t="inlineStr">
        <is>
          <t>total_duration_s</t>
        </is>
      </c>
      <c r="D95" s="68" t="n">
        <v>644</v>
      </c>
      <c r="E95" s="67" t="n">
        <v>19.0452498447205</v>
      </c>
      <c r="F95" s="67" t="n">
        <v>14.2432</v>
      </c>
      <c r="G95" s="67" t="n">
        <v>12.7676044934123</v>
      </c>
      <c r="H95" s="67" t="n">
        <v>10.8416</v>
      </c>
      <c r="I95" s="67" t="n">
        <v>22.133175</v>
      </c>
      <c r="J95" s="67" t="n">
        <v>5.7026</v>
      </c>
      <c r="K95" s="67" t="n">
        <v>97.64570000000001</v>
      </c>
    </row>
    <row r="96" ht="15" customHeight="1" s="36">
      <c r="A96" s="35" t="inlineStr">
        <is>
          <t>Qwen3:4b</t>
        </is>
      </c>
      <c r="B96" s="35" t="inlineStr">
        <is>
          <t>Grade 8 Math</t>
        </is>
      </c>
      <c r="C96" s="35" t="inlineStr">
        <is>
          <t>eval_duration_s</t>
        </is>
      </c>
      <c r="D96" s="68" t="n">
        <v>644</v>
      </c>
      <c r="E96" s="67" t="n">
        <v>18.0807678571429</v>
      </c>
      <c r="F96" s="67" t="n">
        <v>13.3619</v>
      </c>
      <c r="G96" s="67" t="n">
        <v>12.4833090535077</v>
      </c>
      <c r="H96" s="67" t="n">
        <v>10.0521</v>
      </c>
      <c r="I96" s="67" t="n">
        <v>21.001975</v>
      </c>
      <c r="J96" s="67" t="n">
        <v>4.9847</v>
      </c>
      <c r="K96" s="67" t="n">
        <v>94.8754</v>
      </c>
    </row>
    <row r="97" ht="15" customHeight="1" s="36">
      <c r="A97" s="35" t="inlineStr">
        <is>
          <t>Qwen3:4b</t>
        </is>
      </c>
      <c r="B97" s="35" t="inlineStr">
        <is>
          <t>Grade 8 Math</t>
        </is>
      </c>
      <c r="C97" s="35" t="inlineStr">
        <is>
          <t>eval_count</t>
        </is>
      </c>
      <c r="D97" s="68" t="n">
        <v>644</v>
      </c>
      <c r="E97" s="67" t="n">
        <v>1517.57608695652</v>
      </c>
      <c r="F97" s="67" t="n">
        <v>1130.5</v>
      </c>
      <c r="G97" s="67" t="n">
        <v>1016.61365365406</v>
      </c>
      <c r="H97" s="67" t="n">
        <v>872.5</v>
      </c>
      <c r="I97" s="67" t="n">
        <v>1789</v>
      </c>
      <c r="J97" s="67" t="n">
        <v>421</v>
      </c>
      <c r="K97" s="67" t="n">
        <v>8081</v>
      </c>
    </row>
    <row r="98" ht="15" customHeight="1" s="36">
      <c r="A98" s="35" t="inlineStr">
        <is>
          <t>Qwen3:4b</t>
        </is>
      </c>
      <c r="B98" s="35" t="inlineStr">
        <is>
          <t>Grade 8 Math</t>
        </is>
      </c>
      <c r="C98" s="35" t="inlineStr">
        <is>
          <t>prompt_eval_count</t>
        </is>
      </c>
      <c r="D98" s="68" t="n">
        <v>644</v>
      </c>
      <c r="E98" s="67" t="n">
        <v>305.658385093168</v>
      </c>
      <c r="F98" s="67" t="n">
        <v>303</v>
      </c>
      <c r="G98" s="67" t="n">
        <v>12.1234477591329</v>
      </c>
      <c r="H98" s="67" t="n">
        <v>297</v>
      </c>
      <c r="I98" s="67" t="n">
        <v>311</v>
      </c>
      <c r="J98" s="67" t="n">
        <v>289</v>
      </c>
      <c r="K98" s="67" t="n">
        <v>357</v>
      </c>
    </row>
    <row r="99" ht="15" customHeight="1" s="36">
      <c r="A99" s="35" t="inlineStr">
        <is>
          <t>Qwen3:4b</t>
        </is>
      </c>
      <c r="B99" s="35" t="inlineStr">
        <is>
          <t>Grade 8 Math</t>
        </is>
      </c>
      <c r="C99" s="35" t="inlineStr">
        <is>
          <t>generation_speed_tps</t>
        </is>
      </c>
      <c r="D99" s="68" t="n">
        <v>644</v>
      </c>
      <c r="E99" s="67" t="n">
        <v>84.7431055900621</v>
      </c>
      <c r="F99" s="67" t="n">
        <v>84.26000000000001</v>
      </c>
      <c r="G99" s="67" t="n">
        <v>3.5363202771191</v>
      </c>
      <c r="H99" s="67" t="n">
        <v>82.18000000000001</v>
      </c>
      <c r="I99" s="67" t="n">
        <v>87.24250000000001</v>
      </c>
      <c r="J99" s="67" t="n">
        <v>76.61</v>
      </c>
      <c r="K99" s="67" t="n">
        <v>95.91</v>
      </c>
    </row>
    <row r="100" ht="15" customHeight="1" s="36">
      <c r="A100" s="35" t="inlineStr">
        <is>
          <t>Qwen3:4b</t>
        </is>
      </c>
      <c r="B100" s="35" t="inlineStr">
        <is>
          <t>Grade 8 Math</t>
        </is>
      </c>
      <c r="C100" s="35" t="inlineStr">
        <is>
          <t>prompt_processing_speed_tps</t>
        </is>
      </c>
      <c r="D100" s="68" t="n">
        <v>644</v>
      </c>
      <c r="E100" s="67" t="n">
        <v>4149.89815217391</v>
      </c>
      <c r="F100" s="67" t="n">
        <v>4487.98</v>
      </c>
      <c r="G100" s="67" t="n">
        <v>1432.43591029874</v>
      </c>
      <c r="H100" s="67" t="n">
        <v>2951.3375</v>
      </c>
      <c r="I100" s="67" t="n">
        <v>5117.395</v>
      </c>
      <c r="J100" s="67" t="n">
        <v>863.87</v>
      </c>
      <c r="K100" s="67" t="n">
        <v>14129.33</v>
      </c>
    </row>
    <row r="101" ht="15" customHeight="1" s="36">
      <c r="A101" s="35" t="inlineStr">
        <is>
          <t>Qwen3:4b</t>
        </is>
      </c>
      <c r="B101" s="35" t="inlineStr">
        <is>
          <t>Grade 8 Math</t>
        </is>
      </c>
      <c r="C101" s="35" t="inlineStr">
        <is>
          <t>energy_estimate_wh</t>
        </is>
      </c>
      <c r="D101" s="68" t="n">
        <v>644</v>
      </c>
      <c r="E101" s="67" t="n">
        <v>0.552625931677019</v>
      </c>
      <c r="F101" s="67" t="n">
        <v>0.4157</v>
      </c>
      <c r="G101" s="67" t="n">
        <v>0.360376075245778</v>
      </c>
      <c r="H101" s="67" t="n">
        <v>0.317475</v>
      </c>
      <c r="I101" s="67" t="n">
        <v>0.646825</v>
      </c>
      <c r="J101" s="67" t="n">
        <v>0.1699</v>
      </c>
      <c r="K101" s="67" t="n">
        <v>3.0699</v>
      </c>
    </row>
    <row r="102" ht="15" customHeight="1" s="36">
      <c r="A102" s="35" t="inlineStr">
        <is>
          <t>Qwen3:4b</t>
        </is>
      </c>
      <c r="B102" s="35" t="inlineStr">
        <is>
          <t>Grade 8 Math</t>
        </is>
      </c>
      <c r="C102" s="35" t="inlineStr">
        <is>
          <t>gpu_power_avg_w</t>
        </is>
      </c>
      <c r="D102" s="68" t="n">
        <v>644</v>
      </c>
      <c r="E102" s="67" t="n">
        <v>92.40155279503109</v>
      </c>
      <c r="F102" s="67" t="n">
        <v>92.2</v>
      </c>
      <c r="G102" s="67" t="n">
        <v>7.40615506780297</v>
      </c>
      <c r="H102" s="67" t="n">
        <v>88.40000000000001</v>
      </c>
      <c r="I102" s="67" t="n">
        <v>96.925</v>
      </c>
      <c r="J102" s="67" t="n">
        <v>69</v>
      </c>
      <c r="K102" s="67" t="n">
        <v>110.8</v>
      </c>
    </row>
    <row r="103" ht="15" customHeight="1" s="36">
      <c r="A103" s="35" t="inlineStr">
        <is>
          <t>Qwen3:4b</t>
        </is>
      </c>
      <c r="B103" s="35" t="inlineStr">
        <is>
          <t>Grade 8 Math</t>
        </is>
      </c>
      <c r="C103" s="35" t="inlineStr">
        <is>
          <t>gpu_vram_peak_mb</t>
        </is>
      </c>
      <c r="D103" s="68" t="n">
        <v>644</v>
      </c>
      <c r="E103" s="67" t="n">
        <v>3692.57546583851</v>
      </c>
      <c r="F103" s="67" t="n">
        <v>3693.1</v>
      </c>
      <c r="G103" s="67" t="n">
        <v>1.14850119399606</v>
      </c>
      <c r="H103" s="67" t="n">
        <v>3691.1</v>
      </c>
      <c r="I103" s="67" t="n">
        <v>3693.1</v>
      </c>
      <c r="J103" s="67" t="n">
        <v>3691.1</v>
      </c>
      <c r="K103" s="67" t="n">
        <v>3699.8</v>
      </c>
    </row>
    <row r="104" ht="15" customHeight="1" s="36">
      <c r="A104" s="35" t="inlineStr">
        <is>
          <t>Qwen3:4b</t>
        </is>
      </c>
      <c r="B104" s="35" t="inlineStr">
        <is>
          <t>Grade 8 Math</t>
        </is>
      </c>
      <c r="C104" s="35" t="inlineStr">
        <is>
          <t>ram_peak_mb</t>
        </is>
      </c>
      <c r="D104" s="68" t="n">
        <v>644</v>
      </c>
      <c r="E104" s="67" t="n">
        <v>26785.8833850932</v>
      </c>
      <c r="F104" s="67" t="n">
        <v>26779.15</v>
      </c>
      <c r="G104" s="67" t="n">
        <v>106.986911978583</v>
      </c>
      <c r="H104" s="67" t="n">
        <v>26727.625</v>
      </c>
      <c r="I104" s="67" t="n">
        <v>26845.2</v>
      </c>
      <c r="J104" s="67" t="n">
        <v>26505.7</v>
      </c>
      <c r="K104" s="67" t="n">
        <v>27226.4</v>
      </c>
    </row>
  </sheetData>
  <mergeCells count="3">
    <mergeCell ref="A2:K2"/>
    <mergeCell ref="A1:K1"/>
    <mergeCell ref="A3:K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S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5" min="1" max="1"/>
    <col width="11" customWidth="1" style="35" min="2" max="3"/>
    <col width="10" customWidth="1" style="35" min="4" max="4"/>
    <col width="21" customWidth="1" style="35" min="5" max="6"/>
    <col width="23" customWidth="1" style="35" min="7" max="7"/>
    <col width="20" customWidth="1" style="35" min="8" max="9"/>
    <col width="14" customWidth="1" style="35" min="10" max="10"/>
    <col width="12" customWidth="1" style="35" min="11" max="11"/>
    <col width="18" customWidth="1" style="35" min="12" max="12"/>
    <col width="19" customWidth="1" style="35" min="13" max="13"/>
    <col width="16" customWidth="1" style="35" min="14" max="14"/>
    <col width="24" customWidth="1" style="35" min="15" max="15"/>
    <col width="21" customWidth="1" style="35" min="16" max="17"/>
    <col width="25" customWidth="1" style="35" min="18" max="18"/>
    <col width="30" customWidth="1" style="35" min="19" max="19"/>
  </cols>
  <sheetData>
    <row r="1" ht="21.75" customHeight="1" s="36">
      <c r="A1" s="62" t="inlineStr">
        <is>
          <t>McNemar</t>
        </is>
      </c>
    </row>
    <row r="2" ht="30" customHeight="1" s="36">
      <c r="A2" s="63" t="inlineStr">
        <is>
          <t>For each pair of models on each dataset: are the accuracy scores actually different, or is the gap within the noise?</t>
        </is>
      </c>
    </row>
    <row r="3" ht="48" customHeight="1" s="36">
      <c r="A3" s="64" t="inlineStr">
        <is>
          <t>How to read: Look at 'Significant @ α=0.05 (Holm)?' — TRUE (green) means the two models really do differ. 'A Correct, B Wrong' and 'B Correct, A Wrong' show who won on the disagreed questions. 'Cohen's h' is the size of the gap (0.2 small, 0.5 medium, 0.8 large).</t>
        </is>
      </c>
    </row>
    <row r="5" ht="15" customHeight="1" s="36">
      <c r="A5" s="65" t="inlineStr">
        <is>
          <t>Dataset</t>
        </is>
      </c>
      <c r="B5" s="65" t="inlineStr">
        <is>
          <t>Model A</t>
        </is>
      </c>
      <c r="C5" s="65" t="inlineStr">
        <is>
          <t>Model B</t>
        </is>
      </c>
      <c r="D5" s="65" t="inlineStr">
        <is>
          <t>N</t>
        </is>
      </c>
      <c r="E5" s="65" t="inlineStr">
        <is>
          <t>Accuracy A</t>
        </is>
      </c>
      <c r="F5" s="65" t="inlineStr">
        <is>
          <t>Accuracy B</t>
        </is>
      </c>
      <c r="G5" s="65" t="inlineStr">
        <is>
          <t>Accuracy Diff (A − B)</t>
        </is>
      </c>
      <c r="H5" s="65" t="inlineStr">
        <is>
          <t>A Correct, B Wrong</t>
        </is>
      </c>
      <c r="I5" s="65" t="inlineStr">
        <is>
          <t>B Correct, A Wrong</t>
        </is>
      </c>
      <c r="J5" s="65" t="inlineStr">
        <is>
          <t>Both Correct</t>
        </is>
      </c>
      <c r="K5" s="65" t="inlineStr">
        <is>
          <t>Both Wrong</t>
        </is>
      </c>
      <c r="L5" s="65" t="inlineStr">
        <is>
          <t>Discordant Pairs</t>
        </is>
      </c>
      <c r="M5" s="65" t="inlineStr">
        <is>
          <t>Test Statistic</t>
        </is>
      </c>
      <c r="N5" s="65" t="inlineStr">
        <is>
          <t>Method</t>
        </is>
      </c>
      <c r="O5" s="65" t="inlineStr">
        <is>
          <t>p-value (raw)</t>
        </is>
      </c>
      <c r="P5" s="65" t="inlineStr">
        <is>
          <t>Cohen's h</t>
        </is>
      </c>
      <c r="Q5" s="65" t="inlineStr">
        <is>
          <t>Cohen's h Magnitude</t>
        </is>
      </c>
      <c r="R5" s="65" t="inlineStr">
        <is>
          <t>p-value (Holm-adjusted)</t>
        </is>
      </c>
      <c r="S5" s="65" t="inlineStr">
        <is>
          <t>Significant @ α=0.05 (Holm)?</t>
        </is>
      </c>
    </row>
    <row r="6" ht="15" customHeight="1" s="36">
      <c r="A6" s="35" t="inlineStr">
        <is>
          <t>Adv Probability &amp; Statistics</t>
        </is>
      </c>
      <c r="B6" s="35" t="inlineStr">
        <is>
          <t>Gemma3:4b</t>
        </is>
      </c>
      <c r="C6" s="35" t="inlineStr">
        <is>
          <t>Phi3:3.8b</t>
        </is>
      </c>
      <c r="D6" s="68" t="n">
        <v>884</v>
      </c>
      <c r="E6" s="66" t="n">
        <v>0.94683257918552</v>
      </c>
      <c r="F6" s="66" t="n">
        <v>0.104072398190045</v>
      </c>
      <c r="G6" s="66" t="n">
        <v>0.842760180995475</v>
      </c>
      <c r="H6" s="68" t="n">
        <v>747</v>
      </c>
      <c r="I6" s="68" t="n">
        <v>2</v>
      </c>
      <c r="J6" s="68" t="n">
        <v>90</v>
      </c>
      <c r="K6" s="68" t="n">
        <v>45</v>
      </c>
      <c r="L6" s="68" t="n">
        <v>749</v>
      </c>
      <c r="M6" s="69" t="n">
        <v>739.0333778371159</v>
      </c>
      <c r="N6" s="40" t="inlineStr">
        <is>
          <t>chi2_corrected</t>
        </is>
      </c>
      <c r="O6" s="70" t="n">
        <v>9.72665224719849e-163</v>
      </c>
      <c r="P6" s="69" t="n">
        <v>2.01928848383456</v>
      </c>
      <c r="Q6" s="40" t="inlineStr">
        <is>
          <t>large</t>
        </is>
      </c>
      <c r="R6" s="70" t="n">
        <v>1.9453304494397e-162</v>
      </c>
      <c r="S6" s="35">
        <f>TRUE()</f>
        <v/>
      </c>
    </row>
    <row r="7" ht="15" customHeight="1" s="36">
      <c r="A7" s="35" t="inlineStr">
        <is>
          <t>Adv Probability &amp; Statistics</t>
        </is>
      </c>
      <c r="B7" s="35" t="inlineStr">
        <is>
          <t>Gemma3:4b</t>
        </is>
      </c>
      <c r="C7" s="35" t="inlineStr">
        <is>
          <t>Qwen3:4b</t>
        </is>
      </c>
      <c r="D7" s="68" t="n">
        <v>884</v>
      </c>
      <c r="E7" s="66" t="n">
        <v>0.94683257918552</v>
      </c>
      <c r="F7" s="66" t="n">
        <v>0.973981900452489</v>
      </c>
      <c r="G7" s="66" t="n">
        <v>-0.0271493212669683</v>
      </c>
      <c r="H7" s="68" t="n">
        <v>16</v>
      </c>
      <c r="I7" s="68" t="n">
        <v>40</v>
      </c>
      <c r="J7" s="68" t="n">
        <v>821</v>
      </c>
      <c r="K7" s="68" t="n">
        <v>7</v>
      </c>
      <c r="L7" s="68" t="n">
        <v>56</v>
      </c>
      <c r="M7" s="69" t="n">
        <v>9.446428571428569</v>
      </c>
      <c r="N7" s="40" t="inlineStr">
        <is>
          <t>chi2_corrected</t>
        </is>
      </c>
      <c r="O7" s="70" t="n">
        <v>0.00211560651585299</v>
      </c>
      <c r="P7" s="69" t="n">
        <v>-0.141330579469828</v>
      </c>
      <c r="Q7" s="40" t="inlineStr">
        <is>
          <t>negligible</t>
        </is>
      </c>
      <c r="R7" s="70" t="n">
        <v>0.00211560651585299</v>
      </c>
      <c r="S7" s="35">
        <f>TRUE()</f>
        <v/>
      </c>
    </row>
    <row r="8" ht="15" customHeight="1" s="36">
      <c r="A8" s="35" t="inlineStr">
        <is>
          <t>Adv Probability &amp; Statistics</t>
        </is>
      </c>
      <c r="B8" s="35" t="inlineStr">
        <is>
          <t>Phi3:3.8b</t>
        </is>
      </c>
      <c r="C8" s="35" t="inlineStr">
        <is>
          <t>Qwen3:4b</t>
        </is>
      </c>
      <c r="D8" s="68" t="n">
        <v>1000</v>
      </c>
      <c r="E8" s="66" t="n">
        <v>0.092</v>
      </c>
      <c r="F8" s="66" t="n">
        <v>0.975</v>
      </c>
      <c r="G8" s="66" t="n">
        <v>-0.883</v>
      </c>
      <c r="H8" s="68" t="n">
        <v>0</v>
      </c>
      <c r="I8" s="68" t="n">
        <v>883</v>
      </c>
      <c r="J8" s="68" t="n">
        <v>92</v>
      </c>
      <c r="K8" s="68" t="n">
        <v>25</v>
      </c>
      <c r="L8" s="68" t="n">
        <v>883</v>
      </c>
      <c r="M8" s="69" t="n">
        <v>881.001132502831</v>
      </c>
      <c r="N8" s="40" t="inlineStr">
        <is>
          <t>chi2_corrected</t>
        </is>
      </c>
      <c r="O8" s="70" t="n">
        <v>1.32432648745093e-193</v>
      </c>
      <c r="P8" s="69" t="n">
        <v>-2.20769293459185</v>
      </c>
      <c r="Q8" s="40" t="inlineStr">
        <is>
          <t>large</t>
        </is>
      </c>
      <c r="R8" s="70" t="n">
        <v>3.97297946235279e-193</v>
      </c>
      <c r="S8" s="35">
        <f>TRUE()</f>
        <v/>
      </c>
    </row>
    <row r="9" ht="15" customHeight="1" s="36">
      <c r="A9" s="35" t="inlineStr">
        <is>
          <t>Calculus I</t>
        </is>
      </c>
      <c r="B9" s="35" t="inlineStr">
        <is>
          <t>Gemma3:4b</t>
        </is>
      </c>
      <c r="C9" s="35" t="inlineStr">
        <is>
          <t>Phi3:3.8b</t>
        </is>
      </c>
      <c r="D9" s="68" t="n">
        <v>374</v>
      </c>
      <c r="E9" s="66" t="n">
        <v>0.863636363636364</v>
      </c>
      <c r="F9" s="66" t="n">
        <v>0.288770053475936</v>
      </c>
      <c r="G9" s="66" t="n">
        <v>0.574866310160428</v>
      </c>
      <c r="H9" s="68" t="n">
        <v>222</v>
      </c>
      <c r="I9" s="68" t="n">
        <v>7</v>
      </c>
      <c r="J9" s="68" t="n">
        <v>101</v>
      </c>
      <c r="K9" s="68" t="n">
        <v>44</v>
      </c>
      <c r="L9" s="68" t="n">
        <v>229</v>
      </c>
      <c r="M9" s="69" t="n">
        <v>199.982532751092</v>
      </c>
      <c r="N9" s="40" t="inlineStr">
        <is>
          <t>chi2_corrected</t>
        </is>
      </c>
      <c r="O9" s="70" t="n">
        <v>2.10689864175153e-45</v>
      </c>
      <c r="P9" s="69" t="n">
        <v>1.25049752172438</v>
      </c>
      <c r="Q9" s="40" t="inlineStr">
        <is>
          <t>large</t>
        </is>
      </c>
      <c r="R9" s="70" t="n">
        <v>4.21379728350305e-45</v>
      </c>
      <c r="S9" s="35">
        <f>TRUE()</f>
        <v/>
      </c>
    </row>
    <row r="10" ht="15" customHeight="1" s="36">
      <c r="A10" s="35" t="inlineStr">
        <is>
          <t>Calculus I</t>
        </is>
      </c>
      <c r="B10" s="35" t="inlineStr">
        <is>
          <t>Gemma3:4b</t>
        </is>
      </c>
      <c r="C10" s="35" t="inlineStr">
        <is>
          <t>Qwen3:4b</t>
        </is>
      </c>
      <c r="D10" s="68" t="n">
        <v>374</v>
      </c>
      <c r="E10" s="66" t="n">
        <v>0.863636363636364</v>
      </c>
      <c r="F10" s="66" t="n">
        <v>0.794117647058824</v>
      </c>
      <c r="G10" s="66" t="n">
        <v>0.0695187165775402</v>
      </c>
      <c r="H10" s="68" t="n">
        <v>37</v>
      </c>
      <c r="I10" s="68" t="n">
        <v>11</v>
      </c>
      <c r="J10" s="68" t="n">
        <v>286</v>
      </c>
      <c r="K10" s="68" t="n">
        <v>40</v>
      </c>
      <c r="L10" s="68" t="n">
        <v>48</v>
      </c>
      <c r="M10" s="69" t="n">
        <v>13.0208333333333</v>
      </c>
      <c r="N10" s="40" t="inlineStr">
        <is>
          <t>chi2_corrected</t>
        </is>
      </c>
      <c r="O10" s="70" t="n">
        <v>0.000308044705627747</v>
      </c>
      <c r="P10" s="69" t="n">
        <v>0.185465016631474</v>
      </c>
      <c r="Q10" s="40" t="inlineStr">
        <is>
          <t>negligible</t>
        </is>
      </c>
      <c r="R10" s="70" t="n">
        <v>0.000308044705627747</v>
      </c>
      <c r="S10" s="35">
        <f>TRUE()</f>
        <v/>
      </c>
    </row>
    <row r="11" ht="15" customHeight="1" s="36">
      <c r="A11" s="35" t="inlineStr">
        <is>
          <t>Calculus I</t>
        </is>
      </c>
      <c r="B11" s="35" t="inlineStr">
        <is>
          <t>Phi3:3.8b</t>
        </is>
      </c>
      <c r="C11" s="35" t="inlineStr">
        <is>
          <t>Qwen3:4b</t>
        </is>
      </c>
      <c r="D11" s="68" t="n">
        <v>900</v>
      </c>
      <c r="E11" s="66" t="n">
        <v>0.122222222222222</v>
      </c>
      <c r="F11" s="66" t="n">
        <v>0.797777777777778</v>
      </c>
      <c r="G11" s="66" t="n">
        <v>-0.675555555555556</v>
      </c>
      <c r="H11" s="68" t="n">
        <v>17</v>
      </c>
      <c r="I11" s="68" t="n">
        <v>625</v>
      </c>
      <c r="J11" s="68" t="n">
        <v>93</v>
      </c>
      <c r="K11" s="68" t="n">
        <v>165</v>
      </c>
      <c r="L11" s="68" t="n">
        <v>642</v>
      </c>
      <c r="M11" s="69" t="n">
        <v>573.908099688474</v>
      </c>
      <c r="N11" s="40" t="inlineStr">
        <is>
          <t>chi2_corrected</t>
        </is>
      </c>
      <c r="O11" s="70" t="n">
        <v>7.928755286264241e-127</v>
      </c>
      <c r="P11" s="69" t="n">
        <v>-1.49445882318621</v>
      </c>
      <c r="Q11" s="40" t="inlineStr">
        <is>
          <t>large</t>
        </is>
      </c>
      <c r="R11" s="70" t="n">
        <v>2.37862658587927e-126</v>
      </c>
      <c r="S11" s="35">
        <f>TRUE()</f>
        <v/>
      </c>
    </row>
    <row r="12" ht="15" customHeight="1" s="36">
      <c r="A12" s="35" t="inlineStr">
        <is>
          <t>Grade 8 Math</t>
        </is>
      </c>
      <c r="B12" s="35" t="inlineStr">
        <is>
          <t>Gemma3:4b</t>
        </is>
      </c>
      <c r="C12" s="35" t="inlineStr">
        <is>
          <t>Phi3:3.8b</t>
        </is>
      </c>
      <c r="D12" s="68" t="n">
        <v>644</v>
      </c>
      <c r="E12" s="66" t="n">
        <v>0.675465838509317</v>
      </c>
      <c r="F12" s="66" t="n">
        <v>0.0248447204968944</v>
      </c>
      <c r="G12" s="66" t="n">
        <v>0.650621118012422</v>
      </c>
      <c r="H12" s="68" t="n">
        <v>422</v>
      </c>
      <c r="I12" s="68" t="n">
        <v>3</v>
      </c>
      <c r="J12" s="68" t="n">
        <v>13</v>
      </c>
      <c r="K12" s="68" t="n">
        <v>206</v>
      </c>
      <c r="L12" s="68" t="n">
        <v>425</v>
      </c>
      <c r="M12" s="69" t="n">
        <v>411.115294117647</v>
      </c>
      <c r="N12" s="40" t="inlineStr">
        <is>
          <t>chi2_corrected</t>
        </is>
      </c>
      <c r="O12" s="70" t="n">
        <v>2.09583158442336e-91</v>
      </c>
      <c r="P12" s="69" t="n">
        <v>1.61279786531507</v>
      </c>
      <c r="Q12" s="40" t="inlineStr">
        <is>
          <t>large</t>
        </is>
      </c>
      <c r="R12" s="70" t="n">
        <v>4.19166316884672e-91</v>
      </c>
      <c r="S12" s="35">
        <f>TRUE()</f>
        <v/>
      </c>
    </row>
    <row r="13" ht="15" customHeight="1" s="36">
      <c r="A13" s="35" t="inlineStr">
        <is>
          <t>Grade 8 Math</t>
        </is>
      </c>
      <c r="B13" s="35" t="inlineStr">
        <is>
          <t>Gemma3:4b</t>
        </is>
      </c>
      <c r="C13" s="35" t="inlineStr">
        <is>
          <t>Qwen3:4b</t>
        </is>
      </c>
      <c r="D13" s="68" t="n">
        <v>644</v>
      </c>
      <c r="E13" s="66" t="n">
        <v>0.675465838509317</v>
      </c>
      <c r="F13" s="66" t="n">
        <v>0.7826086956521739</v>
      </c>
      <c r="G13" s="66" t="n">
        <v>-0.107142857142857</v>
      </c>
      <c r="H13" s="68" t="n">
        <v>8</v>
      </c>
      <c r="I13" s="68" t="n">
        <v>77</v>
      </c>
      <c r="J13" s="68" t="n">
        <v>427</v>
      </c>
      <c r="K13" s="68" t="n">
        <v>132</v>
      </c>
      <c r="L13" s="68" t="n">
        <v>85</v>
      </c>
      <c r="M13" s="69" t="n">
        <v>54.4</v>
      </c>
      <c r="N13" s="40" t="inlineStr">
        <is>
          <t>chi2_corrected</t>
        </is>
      </c>
      <c r="O13" s="70" t="n">
        <v>1.63562868045889e-13</v>
      </c>
      <c r="P13" s="69" t="n">
        <v>-0.242130879452996</v>
      </c>
      <c r="Q13" s="40" t="inlineStr">
        <is>
          <t>small</t>
        </is>
      </c>
      <c r="R13" s="70" t="n">
        <v>1.63562868045889e-13</v>
      </c>
      <c r="S13" s="35">
        <f>TRUE()</f>
        <v/>
      </c>
    </row>
    <row r="14" ht="15" customHeight="1" s="36">
      <c r="A14" s="35" t="inlineStr">
        <is>
          <t>Grade 8 Math</t>
        </is>
      </c>
      <c r="B14" s="35" t="inlineStr">
        <is>
          <t>Phi3:3.8b</t>
        </is>
      </c>
      <c r="C14" s="35" t="inlineStr">
        <is>
          <t>Qwen3:4b</t>
        </is>
      </c>
      <c r="D14" s="68" t="n">
        <v>644</v>
      </c>
      <c r="E14" s="66" t="n">
        <v>0.0248447204968944</v>
      </c>
      <c r="F14" s="66" t="n">
        <v>0.7826086956521739</v>
      </c>
      <c r="G14" s="66" t="n">
        <v>-0.75776397515528</v>
      </c>
      <c r="H14" s="68" t="n">
        <v>3</v>
      </c>
      <c r="I14" s="68" t="n">
        <v>491</v>
      </c>
      <c r="J14" s="68" t="n">
        <v>13</v>
      </c>
      <c r="K14" s="68" t="n">
        <v>137</v>
      </c>
      <c r="L14" s="68" t="n">
        <v>494</v>
      </c>
      <c r="M14" s="69" t="n">
        <v>480.099190283401</v>
      </c>
      <c r="N14" s="40" t="inlineStr">
        <is>
          <t>chi2_corrected</t>
        </is>
      </c>
      <c r="O14" s="70" t="n">
        <v>2.03310632333179e-106</v>
      </c>
      <c r="P14" s="69" t="n">
        <v>-1.85492874476806</v>
      </c>
      <c r="Q14" s="40" t="inlineStr">
        <is>
          <t>large</t>
        </is>
      </c>
      <c r="R14" s="70" t="n">
        <v>6.09931896999536e-106</v>
      </c>
      <c r="S14" s="35">
        <f>TRUE()</f>
        <v/>
      </c>
    </row>
  </sheetData>
  <mergeCells count="3">
    <mergeCell ref="A3:S3"/>
    <mergeCell ref="A2:S2"/>
    <mergeCell ref="A1:S1"/>
  </mergeCells>
  <conditionalFormatting sqref="E6:E14">
    <cfRule type="colorScale" priority="2">
      <colorScale>
        <cfvo type="num" val="0"/>
        <cfvo type="num" val="0.5"/>
        <cfvo type="num" val="1"/>
        <color rgb="FFF8696B"/>
        <color rgb="FFFFEB84"/>
        <color rgb="FF63BE7B"/>
      </colorScale>
    </cfRule>
  </conditionalFormatting>
  <conditionalFormatting sqref="F6:F14">
    <cfRule type="colorScale" priority="3">
      <colorScale>
        <cfvo type="num" val="0"/>
        <cfvo type="num" val="0.5"/>
        <cfvo type="num" val="1"/>
        <color rgb="FFF8696B"/>
        <color rgb="FFFFEB84"/>
        <color rgb="FF63BE7B"/>
      </colorScale>
    </cfRule>
  </conditionalFormatting>
  <conditionalFormatting sqref="O6:O14">
    <cfRule type="cellIs" rank="0" priority="4" equalAverage="0" operator="lessThan" aboveAverage="0" dxfId="0" text="" percent="0" bottom="0">
      <formula>0.05</formula>
    </cfRule>
    <cfRule type="cellIs" rank="0" priority="5" equalAverage="0" operator="greaterThanOrEqual" aboveAverage="0" dxfId="1" text="" percent="0" bottom="0">
      <formula>0.05</formula>
    </cfRule>
  </conditionalFormatting>
  <conditionalFormatting sqref="R6:R14">
    <cfRule type="cellIs" rank="0" priority="6" equalAverage="0" operator="lessThan" aboveAverage="0" dxfId="0" text="" percent="0" bottom="0">
      <formula>0.05</formula>
    </cfRule>
    <cfRule type="cellIs" rank="0" priority="7" equalAverage="0" operator="greaterThanOrEqual" aboveAverage="0" dxfId="1" text="" percent="0" bottom="0">
      <formula>0.05</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N41"/>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5" min="1" max="1"/>
    <col width="26" customWidth="1" style="35" min="2" max="2"/>
    <col width="11" customWidth="1" style="35" min="3" max="4"/>
    <col width="10" customWidth="1" style="35" min="5" max="5"/>
    <col width="19" customWidth="1" style="35" min="6" max="6"/>
    <col width="21" customWidth="1" style="35" min="7" max="7"/>
    <col width="22" customWidth="1" style="35" min="8" max="8"/>
    <col width="12" customWidth="1" style="35" min="9" max="9"/>
    <col width="24" customWidth="1" style="35" min="10" max="11"/>
    <col width="30" customWidth="1" style="35" min="12" max="12"/>
    <col width="22" customWidth="1" style="35" min="13" max="13"/>
    <col width="21" customWidth="1" style="35" min="14" max="14"/>
  </cols>
  <sheetData>
    <row r="1" ht="21.75" customHeight="1" s="36">
      <c r="A1" s="62" t="inlineStr">
        <is>
          <t>Metric Comparison</t>
        </is>
      </c>
    </row>
    <row r="2" ht="30" customHeight="1" s="36">
      <c r="A2" s="63" t="inlineStr">
        <is>
          <t>For each pair of models, does one use significantly more/less time, tokens, or energy per question?</t>
        </is>
      </c>
    </row>
    <row r="3" ht="48" customHeight="1" s="36">
      <c r="A3" s="64" t="inlineStr">
        <is>
          <t>How to read: 'Significant (Holm)?' TRUE (green) = the difference is real. 'Median A' vs 'Median B' shows which is larger. 'Cliff's δ' is the size of the gap (values near 0 = tiny, near ±1 = huge). p-values are corrected for running multiple tests.</t>
        </is>
      </c>
    </row>
    <row r="5" ht="15" customHeight="1" s="36">
      <c r="A5" s="65" t="inlineStr">
        <is>
          <t>Dataset</t>
        </is>
      </c>
      <c r="B5" s="65" t="inlineStr">
        <is>
          <t>Metric</t>
        </is>
      </c>
      <c r="C5" s="65" t="inlineStr">
        <is>
          <t>Model A</t>
        </is>
      </c>
      <c r="D5" s="65" t="inlineStr">
        <is>
          <t>Model B</t>
        </is>
      </c>
      <c r="E5" s="65" t="inlineStr">
        <is>
          <t>N Pairs</t>
        </is>
      </c>
      <c r="F5" s="65" t="inlineStr">
        <is>
          <t>Median A</t>
        </is>
      </c>
      <c r="G5" s="65" t="inlineStr">
        <is>
          <t>Median B</t>
        </is>
      </c>
      <c r="H5" s="65" t="inlineStr">
        <is>
          <t>Wilcoxon Median Diff</t>
        </is>
      </c>
      <c r="I5" s="65" t="inlineStr">
        <is>
          <t>Wilcoxon W</t>
        </is>
      </c>
      <c r="J5" s="65" t="inlineStr">
        <is>
          <t>Wilcoxon p (raw)</t>
        </is>
      </c>
      <c r="K5" s="65" t="inlineStr">
        <is>
          <t>Wilcoxon p (Holm)</t>
        </is>
      </c>
      <c r="L5" s="65" t="inlineStr">
        <is>
          <t>Wilcoxon Significant (Holm)?</t>
        </is>
      </c>
      <c r="M5" s="65" t="inlineStr">
        <is>
          <t>Cliff's δ</t>
        </is>
      </c>
      <c r="N5" s="65" t="inlineStr">
        <is>
          <t>Cliff's δ Magnitude</t>
        </is>
      </c>
    </row>
    <row r="6" ht="15" customHeight="1" s="36">
      <c r="A6" s="35" t="inlineStr">
        <is>
          <t>Adv Probability &amp; Statistics</t>
        </is>
      </c>
      <c r="B6" s="35" t="inlineStr">
        <is>
          <t>Generation Time (s)</t>
        </is>
      </c>
      <c r="C6" s="35" t="inlineStr">
        <is>
          <t>Gemma3:4b</t>
        </is>
      </c>
      <c r="D6" s="35" t="inlineStr">
        <is>
          <t>Phi3:3.8b</t>
        </is>
      </c>
      <c r="E6" s="68" t="n">
        <v>884</v>
      </c>
      <c r="F6" s="67" t="n">
        <v>6.78752481937408</v>
      </c>
      <c r="G6" s="67" t="n">
        <v>4.35506892204285</v>
      </c>
      <c r="H6" s="67" t="n">
        <v>2.10109758377075</v>
      </c>
      <c r="I6" s="69" t="n">
        <v>53592</v>
      </c>
      <c r="J6" s="70" t="n">
        <v>5.07486052775758e-78</v>
      </c>
      <c r="K6" s="70" t="n">
        <v>5.07486052775758e-78</v>
      </c>
      <c r="L6" s="35">
        <f>TRUE()</f>
        <v/>
      </c>
      <c r="M6" s="69" t="n">
        <v>0.655852664769354</v>
      </c>
      <c r="N6" s="40" t="inlineStr">
        <is>
          <t>large</t>
        </is>
      </c>
    </row>
    <row r="7" ht="15" customHeight="1" s="36">
      <c r="A7" s="35" t="inlineStr">
        <is>
          <t>Adv Probability &amp; Statistics</t>
        </is>
      </c>
      <c r="B7" s="35" t="inlineStr">
        <is>
          <t>Generation Time (s)</t>
        </is>
      </c>
      <c r="C7" s="35" t="inlineStr">
        <is>
          <t>Gemma3:4b</t>
        </is>
      </c>
      <c r="D7" s="35" t="inlineStr">
        <is>
          <t>Qwen3:4b</t>
        </is>
      </c>
      <c r="E7" s="68" t="n">
        <v>884</v>
      </c>
      <c r="F7" s="67" t="n">
        <v>6.78752481937408</v>
      </c>
      <c r="G7" s="67" t="n">
        <v>18.2485190629959</v>
      </c>
      <c r="H7" s="67" t="n">
        <v>-12.1825469732285</v>
      </c>
      <c r="I7" s="69" t="n">
        <v>865</v>
      </c>
      <c r="J7" s="70" t="n">
        <v>5.17207324636531e-145</v>
      </c>
      <c r="K7" s="70" t="n">
        <v>1.03441464927306e-144</v>
      </c>
      <c r="L7" s="35">
        <f>TRUE()</f>
        <v/>
      </c>
      <c r="M7" s="69" t="n">
        <v>-0.9952268585819291</v>
      </c>
      <c r="N7" s="40" t="inlineStr">
        <is>
          <t>large</t>
        </is>
      </c>
    </row>
    <row r="8" ht="15" customHeight="1" s="36">
      <c r="A8" s="35" t="inlineStr">
        <is>
          <t>Adv Probability &amp; Statistics</t>
        </is>
      </c>
      <c r="B8" s="35" t="inlineStr">
        <is>
          <t>Generation Time (s)</t>
        </is>
      </c>
      <c r="C8" s="35" t="inlineStr">
        <is>
          <t>Phi3:3.8b</t>
        </is>
      </c>
      <c r="D8" s="35" t="inlineStr">
        <is>
          <t>Qwen3:4b</t>
        </is>
      </c>
      <c r="E8" s="68" t="n">
        <v>1000</v>
      </c>
      <c r="F8" s="67" t="n">
        <v>4.33443117141724</v>
      </c>
      <c r="G8" s="67" t="n">
        <v>18.3602333068848</v>
      </c>
      <c r="H8" s="67" t="n">
        <v>-13.7131741046906</v>
      </c>
      <c r="I8" s="69" t="n">
        <v>8925</v>
      </c>
      <c r="J8" s="70" t="n">
        <v>8.97021497591736e-154</v>
      </c>
      <c r="K8" s="70" t="n">
        <v>2.69106449277521e-153</v>
      </c>
      <c r="L8" s="35">
        <f>TRUE()</f>
        <v/>
      </c>
      <c r="M8" s="69" t="n">
        <v>-0.953178</v>
      </c>
      <c r="N8" s="40" t="inlineStr">
        <is>
          <t>large</t>
        </is>
      </c>
    </row>
    <row r="9" ht="15" customHeight="1" s="36">
      <c r="A9" s="35" t="inlineStr">
        <is>
          <t>Adv Probability &amp; Statistics</t>
        </is>
      </c>
      <c r="B9" s="35" t="inlineStr">
        <is>
          <t>Generation Speed (tps)</t>
        </is>
      </c>
      <c r="C9" s="35" t="inlineStr">
        <is>
          <t>Gemma3:4b</t>
        </is>
      </c>
      <c r="D9" s="35" t="inlineStr">
        <is>
          <t>Phi3:3.8b</t>
        </is>
      </c>
      <c r="E9" s="68" t="n">
        <v>884</v>
      </c>
      <c r="F9" s="67" t="n">
        <v>105.125</v>
      </c>
      <c r="G9" s="67" t="n">
        <v>137.51</v>
      </c>
      <c r="H9" s="67" t="n">
        <v>-33.325</v>
      </c>
      <c r="I9" s="69" t="n">
        <v>5087</v>
      </c>
      <c r="J9" s="70" t="n">
        <v>7.04032002208152e-139</v>
      </c>
      <c r="K9" s="70" t="n">
        <v>7.04032002208152e-139</v>
      </c>
      <c r="L9" s="35">
        <f>TRUE()</f>
        <v/>
      </c>
      <c r="M9" s="69" t="n">
        <v>-0.894134794537376</v>
      </c>
      <c r="N9" s="40" t="inlineStr">
        <is>
          <t>large</t>
        </is>
      </c>
    </row>
    <row r="10" ht="15" customHeight="1" s="36">
      <c r="A10" s="35" t="inlineStr">
        <is>
          <t>Adv Probability &amp; Statistics</t>
        </is>
      </c>
      <c r="B10" s="35" t="inlineStr">
        <is>
          <t>Generation Speed (tps)</t>
        </is>
      </c>
      <c r="C10" s="35" t="inlineStr">
        <is>
          <t>Gemma3:4b</t>
        </is>
      </c>
      <c r="D10" s="35" t="inlineStr">
        <is>
          <t>Qwen3:4b</t>
        </is>
      </c>
      <c r="E10" s="68" t="n">
        <v>884</v>
      </c>
      <c r="F10" s="67" t="n">
        <v>105.125</v>
      </c>
      <c r="G10" s="67" t="n">
        <v>82.355</v>
      </c>
      <c r="H10" s="67" t="n">
        <v>21.815</v>
      </c>
      <c r="I10" s="69" t="n">
        <v>1180</v>
      </c>
      <c r="J10" s="70" t="n">
        <v>2.19258540074773e-144</v>
      </c>
      <c r="K10" s="70" t="n">
        <v>4.38517080149546e-144</v>
      </c>
      <c r="L10" s="35">
        <f>TRUE()</f>
        <v/>
      </c>
      <c r="M10" s="69" t="n">
        <v>0.938228128007207</v>
      </c>
      <c r="N10" s="40" t="inlineStr">
        <is>
          <t>large</t>
        </is>
      </c>
    </row>
    <row r="11" ht="15" customHeight="1" s="36">
      <c r="A11" s="35" t="inlineStr">
        <is>
          <t>Adv Probability &amp; Statistics</t>
        </is>
      </c>
      <c r="B11" s="35" t="inlineStr">
        <is>
          <t>Generation Speed (tps)</t>
        </is>
      </c>
      <c r="C11" s="35" t="inlineStr">
        <is>
          <t>Phi3:3.8b</t>
        </is>
      </c>
      <c r="D11" s="35" t="inlineStr">
        <is>
          <t>Qwen3:4b</t>
        </is>
      </c>
      <c r="E11" s="68" t="n">
        <v>1000</v>
      </c>
      <c r="F11" s="67" t="n">
        <v>137.505</v>
      </c>
      <c r="G11" s="67" t="n">
        <v>82.2</v>
      </c>
      <c r="H11" s="67" t="n">
        <v>54.06</v>
      </c>
      <c r="I11" s="69" t="n">
        <v>84</v>
      </c>
      <c r="J11" s="70" t="n">
        <v>4.27966356918438e-165</v>
      </c>
      <c r="K11" s="70" t="n">
        <v>1.28389907075531e-164</v>
      </c>
      <c r="L11" s="35">
        <f>TRUE()</f>
        <v/>
      </c>
      <c r="M11" s="69" t="n">
        <v>0.988579</v>
      </c>
      <c r="N11" s="40" t="inlineStr">
        <is>
          <t>large</t>
        </is>
      </c>
    </row>
    <row r="12" ht="15" customHeight="1" s="36">
      <c r="A12" s="35" t="inlineStr">
        <is>
          <t>Adv Probability &amp; Statistics</t>
        </is>
      </c>
      <c r="B12" s="35" t="inlineStr">
        <is>
          <t>Output Tokens</t>
        </is>
      </c>
      <c r="C12" s="35" t="inlineStr">
        <is>
          <t>Gemma3:4b</t>
        </is>
      </c>
      <c r="D12" s="35" t="inlineStr">
        <is>
          <t>Phi3:3.8b</t>
        </is>
      </c>
      <c r="E12" s="68" t="n">
        <v>884</v>
      </c>
      <c r="F12" s="67" t="n">
        <v>431</v>
      </c>
      <c r="G12" s="67" t="n">
        <v>239.5</v>
      </c>
      <c r="H12" s="67" t="n">
        <v>146</v>
      </c>
      <c r="I12" s="69" t="n">
        <v>91721.5</v>
      </c>
      <c r="J12" s="70" t="n">
        <v>2.23921837856274e-42</v>
      </c>
      <c r="K12" s="70" t="n">
        <v>2.23921837856274e-42</v>
      </c>
      <c r="L12" s="35">
        <f>TRUE()</f>
        <v/>
      </c>
      <c r="M12" s="69" t="n">
        <v>0.469201081058946</v>
      </c>
      <c r="N12" s="40" t="inlineStr">
        <is>
          <t>medium</t>
        </is>
      </c>
    </row>
    <row r="13" ht="15" customHeight="1" s="36">
      <c r="A13" s="35" t="inlineStr">
        <is>
          <t>Adv Probability &amp; Statistics</t>
        </is>
      </c>
      <c r="B13" s="35" t="inlineStr">
        <is>
          <t>Output Tokens</t>
        </is>
      </c>
      <c r="C13" s="35" t="inlineStr">
        <is>
          <t>Gemma3:4b</t>
        </is>
      </c>
      <c r="D13" s="35" t="inlineStr">
        <is>
          <t>Qwen3:4b</t>
        </is>
      </c>
      <c r="E13" s="68" t="n">
        <v>884</v>
      </c>
      <c r="F13" s="67" t="n">
        <v>431</v>
      </c>
      <c r="G13" s="67" t="n">
        <v>1260.5</v>
      </c>
      <c r="H13" s="67" t="n">
        <v>-896.5</v>
      </c>
      <c r="I13" s="69" t="n">
        <v>880</v>
      </c>
      <c r="J13" s="70" t="n">
        <v>5.44021018495443e-145</v>
      </c>
      <c r="K13" s="70" t="n">
        <v>1.63206305548633e-144</v>
      </c>
      <c r="L13" s="35">
        <f>TRUE()</f>
        <v/>
      </c>
      <c r="M13" s="69" t="n">
        <v>-0.986640322679716</v>
      </c>
      <c r="N13" s="40" t="inlineStr">
        <is>
          <t>large</t>
        </is>
      </c>
    </row>
    <row r="14" ht="15" customHeight="1" s="36">
      <c r="A14" s="35" t="inlineStr">
        <is>
          <t>Adv Probability &amp; Statistics</t>
        </is>
      </c>
      <c r="B14" s="35" t="inlineStr">
        <is>
          <t>Output Tokens</t>
        </is>
      </c>
      <c r="C14" s="35" t="inlineStr">
        <is>
          <t>Phi3:3.8b</t>
        </is>
      </c>
      <c r="D14" s="35" t="inlineStr">
        <is>
          <t>Qwen3:4b</t>
        </is>
      </c>
      <c r="E14" s="68" t="n">
        <v>1000</v>
      </c>
      <c r="F14" s="67" t="n">
        <v>237</v>
      </c>
      <c r="G14" s="67" t="n">
        <v>1262.5</v>
      </c>
      <c r="H14" s="67" t="n">
        <v>-992</v>
      </c>
      <c r="I14" s="69" t="n">
        <v>16571</v>
      </c>
      <c r="J14" s="70" t="n">
        <v>2.60817997718441e-144</v>
      </c>
      <c r="K14" s="70" t="n">
        <v>5.21635995436883e-144</v>
      </c>
      <c r="L14" s="35">
        <f>TRUE()</f>
        <v/>
      </c>
      <c r="M14" s="69" t="n">
        <v>-0.924251</v>
      </c>
      <c r="N14" s="40" t="inlineStr">
        <is>
          <t>large</t>
        </is>
      </c>
    </row>
    <row r="15" ht="15" customHeight="1" s="36">
      <c r="A15" s="35" t="inlineStr">
        <is>
          <t>Adv Probability &amp; Statistics</t>
        </is>
      </c>
      <c r="B15" s="35" t="inlineStr">
        <is>
          <t>Energy per Question (Wh)</t>
        </is>
      </c>
      <c r="C15" s="35" t="inlineStr">
        <is>
          <t>Gemma3:4b</t>
        </is>
      </c>
      <c r="D15" s="35" t="inlineStr">
        <is>
          <t>Phi3:3.8b</t>
        </is>
      </c>
      <c r="E15" s="68" t="n">
        <v>884</v>
      </c>
      <c r="F15" s="67" t="n">
        <v>0.14205</v>
      </c>
      <c r="G15" s="67" t="n">
        <v>0.07545</v>
      </c>
      <c r="H15" s="67" t="n">
        <v>0.0534</v>
      </c>
      <c r="I15" s="69" t="n">
        <v>63426</v>
      </c>
      <c r="J15" s="70" t="n">
        <v>7.73874233067384e-68</v>
      </c>
      <c r="K15" s="70" t="n">
        <v>7.73874233067384e-68</v>
      </c>
      <c r="L15" s="35">
        <f>TRUE()</f>
        <v/>
      </c>
      <c r="M15" s="69" t="n">
        <v>0.587948649700047</v>
      </c>
      <c r="N15" s="40" t="inlineStr">
        <is>
          <t>large</t>
        </is>
      </c>
    </row>
    <row r="16" ht="15" customHeight="1" s="36">
      <c r="A16" s="35" t="inlineStr">
        <is>
          <t>Adv Probability &amp; Statistics</t>
        </is>
      </c>
      <c r="B16" s="35" t="inlineStr">
        <is>
          <t>Energy per Question (Wh)</t>
        </is>
      </c>
      <c r="C16" s="35" t="inlineStr">
        <is>
          <t>Gemma3:4b</t>
        </is>
      </c>
      <c r="D16" s="35" t="inlineStr">
        <is>
          <t>Qwen3:4b</t>
        </is>
      </c>
      <c r="E16" s="68" t="n">
        <v>884</v>
      </c>
      <c r="F16" s="67" t="n">
        <v>0.14205</v>
      </c>
      <c r="G16" s="67" t="n">
        <v>0.4233</v>
      </c>
      <c r="H16" s="67" t="n">
        <v>-0.3019</v>
      </c>
      <c r="I16" s="69" t="n">
        <v>876</v>
      </c>
      <c r="J16" s="70" t="n">
        <v>5.36794947210056e-145</v>
      </c>
      <c r="K16" s="70" t="n">
        <v>1.07358989442011e-144</v>
      </c>
      <c r="L16" s="35">
        <f>TRUE()</f>
        <v/>
      </c>
      <c r="M16" s="69" t="n">
        <v>-0.991074353514465</v>
      </c>
      <c r="N16" s="40" t="inlineStr">
        <is>
          <t>large</t>
        </is>
      </c>
    </row>
    <row r="17" ht="15" customHeight="1" s="36">
      <c r="A17" s="35" t="inlineStr">
        <is>
          <t>Adv Probability &amp; Statistics</t>
        </is>
      </c>
      <c r="B17" s="35" t="inlineStr">
        <is>
          <t>Energy per Question (Wh)</t>
        </is>
      </c>
      <c r="C17" s="35" t="inlineStr">
        <is>
          <t>Phi3:3.8b</t>
        </is>
      </c>
      <c r="D17" s="35" t="inlineStr">
        <is>
          <t>Qwen3:4b</t>
        </is>
      </c>
      <c r="E17" s="68" t="n">
        <v>1000</v>
      </c>
      <c r="F17" s="67" t="n">
        <v>0.07489999999999999</v>
      </c>
      <c r="G17" s="67" t="n">
        <v>0.4221</v>
      </c>
      <c r="H17" s="67" t="n">
        <v>-0.3379</v>
      </c>
      <c r="I17" s="69" t="n">
        <v>11841.5</v>
      </c>
      <c r="J17" s="70" t="n">
        <v>3.96677224923187e-150</v>
      </c>
      <c r="K17" s="70" t="n">
        <v>1.19003167476956e-149</v>
      </c>
      <c r="L17" s="35">
        <f>TRUE()</f>
        <v/>
      </c>
      <c r="M17" s="69" t="n">
        <v>-0.942971</v>
      </c>
      <c r="N17" s="40" t="inlineStr">
        <is>
          <t>large</t>
        </is>
      </c>
    </row>
    <row r="18" ht="15" customHeight="1" s="36">
      <c r="A18" s="35" t="inlineStr">
        <is>
          <t>Calculus I</t>
        </is>
      </c>
      <c r="B18" s="35" t="inlineStr">
        <is>
          <t>Generation Time (s)</t>
        </is>
      </c>
      <c r="C18" s="35" t="inlineStr">
        <is>
          <t>Gemma3:4b</t>
        </is>
      </c>
      <c r="D18" s="35" t="inlineStr">
        <is>
          <t>Phi3:3.8b</t>
        </is>
      </c>
      <c r="E18" s="68" t="n">
        <v>374</v>
      </c>
      <c r="F18" s="67" t="n">
        <v>9.263090014457701</v>
      </c>
      <c r="G18" s="67" t="n">
        <v>5.54489099979401</v>
      </c>
      <c r="H18" s="67" t="n">
        <v>3.13907277584076</v>
      </c>
      <c r="I18" s="69" t="n">
        <v>22478</v>
      </c>
      <c r="J18" s="70" t="n">
        <v>1.79677487137331e-09</v>
      </c>
      <c r="K18" s="70" t="n">
        <v>1.79677487137331e-09</v>
      </c>
      <c r="L18" s="35">
        <f>TRUE()</f>
        <v/>
      </c>
      <c r="M18" s="69" t="n">
        <v>0.484815121965169</v>
      </c>
      <c r="N18" s="40" t="inlineStr">
        <is>
          <t>large</t>
        </is>
      </c>
    </row>
    <row r="19" ht="15" customHeight="1" s="36">
      <c r="A19" s="35" t="inlineStr">
        <is>
          <t>Calculus I</t>
        </is>
      </c>
      <c r="B19" s="35" t="inlineStr">
        <is>
          <t>Generation Time (s)</t>
        </is>
      </c>
      <c r="C19" s="35" t="inlineStr">
        <is>
          <t>Gemma3:4b</t>
        </is>
      </c>
      <c r="D19" s="35" t="inlineStr">
        <is>
          <t>Qwen3:4b</t>
        </is>
      </c>
      <c r="E19" s="68" t="n">
        <v>374</v>
      </c>
      <c r="F19" s="67" t="n">
        <v>9.263090014457701</v>
      </c>
      <c r="G19" s="67" t="n">
        <v>19.3802052736282</v>
      </c>
      <c r="H19" s="67" t="n">
        <v>-9.26610839366913</v>
      </c>
      <c r="I19" s="69" t="n">
        <v>1824</v>
      </c>
      <c r="J19" s="70" t="n">
        <v>7.73907778698915e-57</v>
      </c>
      <c r="K19" s="70" t="n">
        <v>1.54781555739783e-56</v>
      </c>
      <c r="L19" s="35">
        <f>TRUE()</f>
        <v/>
      </c>
      <c r="M19" s="69" t="n">
        <v>-0.886041922845949</v>
      </c>
      <c r="N19" s="40" t="inlineStr">
        <is>
          <t>large</t>
        </is>
      </c>
    </row>
    <row r="20" ht="15" customHeight="1" s="36">
      <c r="A20" s="35" t="inlineStr">
        <is>
          <t>Calculus I</t>
        </is>
      </c>
      <c r="B20" s="35" t="inlineStr">
        <is>
          <t>Generation Time (s)</t>
        </is>
      </c>
      <c r="C20" s="35" t="inlineStr">
        <is>
          <t>Phi3:3.8b</t>
        </is>
      </c>
      <c r="D20" s="35" t="inlineStr">
        <is>
          <t>Qwen3:4b</t>
        </is>
      </c>
      <c r="E20" s="68" t="n">
        <v>900</v>
      </c>
      <c r="F20" s="67" t="n">
        <v>9.32908511161804</v>
      </c>
      <c r="G20" s="67" t="n">
        <v>18.5054392814636</v>
      </c>
      <c r="H20" s="67" t="n">
        <v>-9.099734425544741</v>
      </c>
      <c r="I20" s="69" t="n">
        <v>58382</v>
      </c>
      <c r="J20" s="70" t="n">
        <v>1.92429418609759e-76</v>
      </c>
      <c r="K20" s="70" t="n">
        <v>5.772882558292769e-76</v>
      </c>
      <c r="L20" s="35">
        <f>TRUE()</f>
        <v/>
      </c>
      <c r="M20" s="69" t="n">
        <v>-0.521266666666667</v>
      </c>
      <c r="N20" s="40" t="inlineStr">
        <is>
          <t>large</t>
        </is>
      </c>
    </row>
    <row r="21" ht="15" customHeight="1" s="36">
      <c r="A21" s="35" t="inlineStr">
        <is>
          <t>Calculus I</t>
        </is>
      </c>
      <c r="B21" s="35" t="inlineStr">
        <is>
          <t>Generation Speed (tps)</t>
        </is>
      </c>
      <c r="C21" s="35" t="inlineStr">
        <is>
          <t>Gemma3:4b</t>
        </is>
      </c>
      <c r="D21" s="35" t="inlineStr">
        <is>
          <t>Phi3:3.8b</t>
        </is>
      </c>
      <c r="E21" s="68" t="n">
        <v>374</v>
      </c>
      <c r="F21" s="67" t="n">
        <v>74.95</v>
      </c>
      <c r="G21" s="67" t="n">
        <v>126.655</v>
      </c>
      <c r="H21" s="67" t="n">
        <v>-52.065</v>
      </c>
      <c r="I21" s="69" t="n">
        <v>5</v>
      </c>
      <c r="J21" s="70" t="n">
        <v>5.04053774518395e-63</v>
      </c>
      <c r="K21" s="70" t="n">
        <v>1.00810754903679e-62</v>
      </c>
      <c r="L21" s="35">
        <f>TRUE()</f>
        <v/>
      </c>
      <c r="M21" s="69" t="n">
        <v>-0.987510366324459</v>
      </c>
      <c r="N21" s="40" t="inlineStr">
        <is>
          <t>large</t>
        </is>
      </c>
    </row>
    <row r="22" ht="15" customHeight="1" s="36">
      <c r="A22" s="35" t="inlineStr">
        <is>
          <t>Calculus I</t>
        </is>
      </c>
      <c r="B22" s="35" t="inlineStr">
        <is>
          <t>Generation Speed (tps)</t>
        </is>
      </c>
      <c r="C22" s="35" t="inlineStr">
        <is>
          <t>Gemma3:4b</t>
        </is>
      </c>
      <c r="D22" s="35" t="inlineStr">
        <is>
          <t>Qwen3:4b</t>
        </is>
      </c>
      <c r="E22" s="68" t="n">
        <v>374</v>
      </c>
      <c r="F22" s="67" t="n">
        <v>74.95</v>
      </c>
      <c r="G22" s="67" t="n">
        <v>78.28</v>
      </c>
      <c r="H22" s="67" t="n">
        <v>-4.09</v>
      </c>
      <c r="I22" s="69" t="n">
        <v>24516</v>
      </c>
      <c r="J22" s="70" t="n">
        <v>4.62964364727801e-07</v>
      </c>
      <c r="K22" s="70" t="n">
        <v>4.62964364727801e-07</v>
      </c>
      <c r="L22" s="35">
        <f>TRUE()</f>
        <v/>
      </c>
      <c r="M22" s="69" t="n">
        <v>-0.181689496411107</v>
      </c>
      <c r="N22" s="40" t="inlineStr">
        <is>
          <t>small</t>
        </is>
      </c>
    </row>
    <row r="23" ht="15" customHeight="1" s="36">
      <c r="A23" s="35" t="inlineStr">
        <is>
          <t>Calculus I</t>
        </is>
      </c>
      <c r="B23" s="35" t="inlineStr">
        <is>
          <t>Generation Speed (tps)</t>
        </is>
      </c>
      <c r="C23" s="35" t="inlineStr">
        <is>
          <t>Phi3:3.8b</t>
        </is>
      </c>
      <c r="D23" s="35" t="inlineStr">
        <is>
          <t>Qwen3:4b</t>
        </is>
      </c>
      <c r="E23" s="68" t="n">
        <v>900</v>
      </c>
      <c r="F23" s="67" t="n">
        <v>132.205</v>
      </c>
      <c r="G23" s="67" t="n">
        <v>79.7</v>
      </c>
      <c r="H23" s="67" t="n">
        <v>52.69</v>
      </c>
      <c r="I23" s="69" t="n">
        <v>3</v>
      </c>
      <c r="J23" s="70" t="n">
        <v>6.84037331771725e-149</v>
      </c>
      <c r="K23" s="70" t="n">
        <v>2.05211199531517e-148</v>
      </c>
      <c r="L23" s="35">
        <f>TRUE()</f>
        <v/>
      </c>
      <c r="M23" s="69" t="n">
        <v>0.994828395061728</v>
      </c>
      <c r="N23" s="40" t="inlineStr">
        <is>
          <t>large</t>
        </is>
      </c>
    </row>
    <row r="24" ht="15" customHeight="1" s="36">
      <c r="A24" s="35" t="inlineStr">
        <is>
          <t>Calculus I</t>
        </is>
      </c>
      <c r="B24" s="35" t="inlineStr">
        <is>
          <t>Output Tokens</t>
        </is>
      </c>
      <c r="C24" s="35" t="inlineStr">
        <is>
          <t>Gemma3:4b</t>
        </is>
      </c>
      <c r="D24" s="35" t="inlineStr">
        <is>
          <t>Phi3:3.8b</t>
        </is>
      </c>
      <c r="E24" s="68" t="n">
        <v>374</v>
      </c>
      <c r="F24" s="67" t="n">
        <v>421</v>
      </c>
      <c r="G24" s="67" t="n">
        <v>409.5</v>
      </c>
      <c r="H24" s="67" t="n">
        <v>-2</v>
      </c>
      <c r="I24" s="69" t="n">
        <v>29117</v>
      </c>
      <c r="J24" s="70" t="n">
        <v>0.00448514294721902</v>
      </c>
      <c r="K24" s="70" t="n">
        <v>0.00448514294721902</v>
      </c>
      <c r="L24" s="35">
        <f>TRUE()</f>
        <v/>
      </c>
      <c r="M24" s="69" t="n">
        <v>-0.0266664760216192</v>
      </c>
      <c r="N24" s="40" t="inlineStr">
        <is>
          <t>negligible</t>
        </is>
      </c>
    </row>
    <row r="25" ht="15" customHeight="1" s="36">
      <c r="A25" s="35" t="inlineStr">
        <is>
          <t>Calculus I</t>
        </is>
      </c>
      <c r="B25" s="35" t="inlineStr">
        <is>
          <t>Output Tokens</t>
        </is>
      </c>
      <c r="C25" s="35" t="inlineStr">
        <is>
          <t>Gemma3:4b</t>
        </is>
      </c>
      <c r="D25" s="35" t="inlineStr">
        <is>
          <t>Qwen3:4b</t>
        </is>
      </c>
      <c r="E25" s="68" t="n">
        <v>374</v>
      </c>
      <c r="F25" s="67" t="n">
        <v>421</v>
      </c>
      <c r="G25" s="67" t="n">
        <v>1277</v>
      </c>
      <c r="H25" s="67" t="n">
        <v>-810.5</v>
      </c>
      <c r="I25" s="69" t="n">
        <v>590</v>
      </c>
      <c r="J25" s="70" t="n">
        <v>5.34014718045142e-61</v>
      </c>
      <c r="K25" s="70" t="n">
        <v>1.60204415413543e-60</v>
      </c>
      <c r="L25" s="35">
        <f>TRUE()</f>
        <v/>
      </c>
      <c r="M25" s="69" t="n">
        <v>-0.969372873116189</v>
      </c>
      <c r="N25" s="40" t="inlineStr">
        <is>
          <t>large</t>
        </is>
      </c>
    </row>
    <row r="26" ht="15" customHeight="1" s="36">
      <c r="A26" s="35" t="inlineStr">
        <is>
          <t>Calculus I</t>
        </is>
      </c>
      <c r="B26" s="35" t="inlineStr">
        <is>
          <t>Output Tokens</t>
        </is>
      </c>
      <c r="C26" s="35" t="inlineStr">
        <is>
          <t>Phi3:3.8b</t>
        </is>
      </c>
      <c r="D26" s="35" t="inlineStr">
        <is>
          <t>Qwen3:4b</t>
        </is>
      </c>
      <c r="E26" s="68" t="n">
        <v>900</v>
      </c>
      <c r="F26" s="67" t="n">
        <v>856.5</v>
      </c>
      <c r="G26" s="67" t="n">
        <v>1248.5</v>
      </c>
      <c r="H26" s="67" t="n">
        <v>-468.5</v>
      </c>
      <c r="I26" s="69" t="n">
        <v>146939.5</v>
      </c>
      <c r="J26" s="70" t="n">
        <v>8.59438458988228e-13</v>
      </c>
      <c r="K26" s="70" t="n">
        <v>1.71887691797646e-12</v>
      </c>
      <c r="L26" s="35">
        <f>TRUE()</f>
        <v/>
      </c>
      <c r="M26" s="69" t="n">
        <v>-0.241201234567901</v>
      </c>
      <c r="N26" s="40" t="inlineStr">
        <is>
          <t>small</t>
        </is>
      </c>
    </row>
    <row r="27" ht="15" customHeight="1" s="36">
      <c r="A27" s="35" t="inlineStr">
        <is>
          <t>Calculus I</t>
        </is>
      </c>
      <c r="B27" s="35" t="inlineStr">
        <is>
          <t>Energy per Question (Wh)</t>
        </is>
      </c>
      <c r="C27" s="35" t="inlineStr">
        <is>
          <t>Gemma3:4b</t>
        </is>
      </c>
      <c r="D27" s="35" t="inlineStr">
        <is>
          <t>Phi3:3.8b</t>
        </is>
      </c>
      <c r="E27" s="68" t="n">
        <v>374</v>
      </c>
      <c r="F27" s="67" t="n">
        <v>0.15865</v>
      </c>
      <c r="G27" s="67" t="n">
        <v>0.118</v>
      </c>
      <c r="H27" s="67" t="n">
        <v>0.0431</v>
      </c>
      <c r="I27" s="69" t="n">
        <v>30510</v>
      </c>
      <c r="J27" s="70" t="n">
        <v>0.0295536158331971</v>
      </c>
      <c r="K27" s="70" t="n">
        <v>0.0295536158331971</v>
      </c>
      <c r="L27" s="35">
        <f>TRUE()</f>
        <v/>
      </c>
      <c r="M27" s="69" t="n">
        <v>0.272491349480969</v>
      </c>
      <c r="N27" s="40" t="inlineStr">
        <is>
          <t>small</t>
        </is>
      </c>
    </row>
    <row r="28" ht="15" customHeight="1" s="36">
      <c r="A28" s="35" t="inlineStr">
        <is>
          <t>Calculus I</t>
        </is>
      </c>
      <c r="B28" s="35" t="inlineStr">
        <is>
          <t>Energy per Question (Wh)</t>
        </is>
      </c>
      <c r="C28" s="35" t="inlineStr">
        <is>
          <t>Gemma3:4b</t>
        </is>
      </c>
      <c r="D28" s="35" t="inlineStr">
        <is>
          <t>Qwen3:4b</t>
        </is>
      </c>
      <c r="E28" s="68" t="n">
        <v>374</v>
      </c>
      <c r="F28" s="67" t="n">
        <v>0.15865</v>
      </c>
      <c r="G28" s="67" t="n">
        <v>0.41555</v>
      </c>
      <c r="H28" s="67" t="n">
        <v>-0.2388</v>
      </c>
      <c r="I28" s="69" t="n">
        <v>702</v>
      </c>
      <c r="J28" s="70" t="n">
        <v>1.2928199115108e-60</v>
      </c>
      <c r="K28" s="70" t="n">
        <v>3.8784597345324e-60</v>
      </c>
      <c r="L28" s="35">
        <f>TRUE()</f>
        <v/>
      </c>
      <c r="M28" s="69" t="n">
        <v>-0.93184677857531</v>
      </c>
      <c r="N28" s="40" t="inlineStr">
        <is>
          <t>large</t>
        </is>
      </c>
    </row>
    <row r="29" ht="15" customHeight="1" s="36">
      <c r="A29" s="35" t="inlineStr">
        <is>
          <t>Calculus I</t>
        </is>
      </c>
      <c r="B29" s="35" t="inlineStr">
        <is>
          <t>Energy per Question (Wh)</t>
        </is>
      </c>
      <c r="C29" s="35" t="inlineStr">
        <is>
          <t>Phi3:3.8b</t>
        </is>
      </c>
      <c r="D29" s="35" t="inlineStr">
        <is>
          <t>Qwen3:4b</t>
        </is>
      </c>
      <c r="E29" s="68" t="n">
        <v>900</v>
      </c>
      <c r="F29" s="67" t="n">
        <v>0.2103</v>
      </c>
      <c r="G29" s="67" t="n">
        <v>0.41595</v>
      </c>
      <c r="H29" s="67" t="n">
        <v>-0.2032</v>
      </c>
      <c r="I29" s="69" t="n">
        <v>77316</v>
      </c>
      <c r="J29" s="70" t="n">
        <v>3.72338498562197e-58</v>
      </c>
      <c r="K29" s="70" t="n">
        <v>7.446769971243951e-58</v>
      </c>
      <c r="L29" s="35">
        <f>TRUE()</f>
        <v/>
      </c>
      <c r="M29" s="69" t="n">
        <v>-0.445069135802469</v>
      </c>
      <c r="N29" s="40" t="inlineStr">
        <is>
          <t>medium</t>
        </is>
      </c>
    </row>
    <row r="30" ht="15" customHeight="1" s="36">
      <c r="A30" s="35" t="inlineStr">
        <is>
          <t>Grade 8 Math</t>
        </is>
      </c>
      <c r="B30" s="35" t="inlineStr">
        <is>
          <t>Generation Time (s)</t>
        </is>
      </c>
      <c r="C30" s="35" t="inlineStr">
        <is>
          <t>Gemma3:4b</t>
        </is>
      </c>
      <c r="D30" s="35" t="inlineStr">
        <is>
          <t>Phi3:3.8b</t>
        </is>
      </c>
      <c r="E30" s="68" t="n">
        <v>643</v>
      </c>
      <c r="F30" s="67" t="n">
        <v>6.89280390739441</v>
      </c>
      <c r="G30" s="67" t="n">
        <v>4.17408657073975</v>
      </c>
      <c r="H30" s="67" t="n">
        <v>2.72535943984985</v>
      </c>
      <c r="I30" s="69" t="n">
        <v>26526</v>
      </c>
      <c r="J30" s="70" t="n">
        <v>5.1580343579141e-60</v>
      </c>
      <c r="K30" s="70" t="n">
        <v>5.1580343579141e-60</v>
      </c>
      <c r="L30" s="35">
        <f>TRUE()</f>
        <v/>
      </c>
      <c r="M30" s="69" t="n">
        <v>0.714412176592518</v>
      </c>
      <c r="N30" s="40" t="inlineStr">
        <is>
          <t>large</t>
        </is>
      </c>
    </row>
    <row r="31" ht="15" customHeight="1" s="36">
      <c r="A31" s="35" t="inlineStr">
        <is>
          <t>Grade 8 Math</t>
        </is>
      </c>
      <c r="B31" s="35" t="inlineStr">
        <is>
          <t>Generation Time (s)</t>
        </is>
      </c>
      <c r="C31" s="35" t="inlineStr">
        <is>
          <t>Gemma3:4b</t>
        </is>
      </c>
      <c r="D31" s="35" t="inlineStr">
        <is>
          <t>Qwen3:4b</t>
        </is>
      </c>
      <c r="E31" s="68" t="n">
        <v>644</v>
      </c>
      <c r="F31" s="67" t="n">
        <v>6.89156556129456</v>
      </c>
      <c r="G31" s="67" t="n">
        <v>16.2986398935318</v>
      </c>
      <c r="H31" s="67" t="n">
        <v>-9.061984896659849</v>
      </c>
      <c r="I31" s="69" t="n">
        <v>417</v>
      </c>
      <c r="J31" s="70" t="n">
        <v>2.74441841536854e-106</v>
      </c>
      <c r="K31" s="70" t="n">
        <v>8.23325524610561e-106</v>
      </c>
      <c r="L31" s="35">
        <f>TRUE()</f>
        <v/>
      </c>
      <c r="M31" s="69" t="n">
        <v>-0.9721268469580649</v>
      </c>
      <c r="N31" s="40" t="inlineStr">
        <is>
          <t>large</t>
        </is>
      </c>
    </row>
    <row r="32" ht="15" customHeight="1" s="36">
      <c r="A32" s="35" t="inlineStr">
        <is>
          <t>Grade 8 Math</t>
        </is>
      </c>
      <c r="B32" s="35" t="inlineStr">
        <is>
          <t>Generation Time (s)</t>
        </is>
      </c>
      <c r="C32" s="35" t="inlineStr">
        <is>
          <t>Phi3:3.8b</t>
        </is>
      </c>
      <c r="D32" s="35" t="inlineStr">
        <is>
          <t>Qwen3:4b</t>
        </is>
      </c>
      <c r="E32" s="68" t="n">
        <v>643</v>
      </c>
      <c r="F32" s="67" t="n">
        <v>4.17408657073975</v>
      </c>
      <c r="G32" s="67" t="n">
        <v>16.3023617267609</v>
      </c>
      <c r="H32" s="67" t="n">
        <v>-11.4435007572174</v>
      </c>
      <c r="I32" s="69" t="n">
        <v>3113</v>
      </c>
      <c r="J32" s="70" t="n">
        <v>9.54756738375297e-101</v>
      </c>
      <c r="K32" s="70" t="n">
        <v>1.90951347675059e-100</v>
      </c>
      <c r="L32" s="35">
        <f>TRUE()</f>
        <v/>
      </c>
      <c r="M32" s="69" t="n">
        <v>-0.937641643830315</v>
      </c>
      <c r="N32" s="40" t="inlineStr">
        <is>
          <t>large</t>
        </is>
      </c>
    </row>
    <row r="33" ht="15" customHeight="1" s="36">
      <c r="A33" s="35" t="inlineStr">
        <is>
          <t>Grade 8 Math</t>
        </is>
      </c>
      <c r="B33" s="35" t="inlineStr">
        <is>
          <t>Generation Speed (tps)</t>
        </is>
      </c>
      <c r="C33" s="35" t="inlineStr">
        <is>
          <t>Gemma3:4b</t>
        </is>
      </c>
      <c r="D33" s="35" t="inlineStr">
        <is>
          <t>Phi3:3.8b</t>
        </is>
      </c>
      <c r="E33" s="68" t="n">
        <v>643</v>
      </c>
      <c r="F33" s="67" t="n">
        <v>95.87</v>
      </c>
      <c r="G33" s="67" t="n">
        <v>137.22</v>
      </c>
      <c r="H33" s="67" t="n">
        <v>-40.95</v>
      </c>
      <c r="I33" s="69" t="n">
        <v>506.5</v>
      </c>
      <c r="J33" s="70" t="n">
        <v>6.07746430674912e-106</v>
      </c>
      <c r="K33" s="70" t="n">
        <v>1.21549286134982e-105</v>
      </c>
      <c r="L33" s="35">
        <f>TRUE()</f>
        <v/>
      </c>
      <c r="M33" s="69" t="n">
        <v>-0.946290836354665</v>
      </c>
      <c r="N33" s="40" t="inlineStr">
        <is>
          <t>large</t>
        </is>
      </c>
    </row>
    <row r="34" ht="15" customHeight="1" s="36">
      <c r="A34" s="35" t="inlineStr">
        <is>
          <t>Grade 8 Math</t>
        </is>
      </c>
      <c r="B34" s="35" t="inlineStr">
        <is>
          <t>Generation Speed (tps)</t>
        </is>
      </c>
      <c r="C34" s="35" t="inlineStr">
        <is>
          <t>Gemma3:4b</t>
        </is>
      </c>
      <c r="D34" s="35" t="inlineStr">
        <is>
          <t>Qwen3:4b</t>
        </is>
      </c>
      <c r="E34" s="68" t="n">
        <v>644</v>
      </c>
      <c r="F34" s="67" t="n">
        <v>95.86499999999999</v>
      </c>
      <c r="G34" s="67" t="n">
        <v>84.26000000000001</v>
      </c>
      <c r="H34" s="67" t="n">
        <v>11.075</v>
      </c>
      <c r="I34" s="69" t="n">
        <v>787</v>
      </c>
      <c r="J34" s="70" t="n">
        <v>1.52614454811392e-105</v>
      </c>
      <c r="K34" s="70" t="n">
        <v>1.52614454811392e-105</v>
      </c>
      <c r="L34" s="35">
        <f>TRUE()</f>
        <v/>
      </c>
      <c r="M34" s="69" t="n">
        <v>0.946961440530844</v>
      </c>
      <c r="N34" s="40" t="inlineStr">
        <is>
          <t>large</t>
        </is>
      </c>
    </row>
    <row r="35" ht="15" customHeight="1" s="36">
      <c r="A35" s="35" t="inlineStr">
        <is>
          <t>Grade 8 Math</t>
        </is>
      </c>
      <c r="B35" s="35" t="inlineStr">
        <is>
          <t>Generation Speed (tps)</t>
        </is>
      </c>
      <c r="C35" s="35" t="inlineStr">
        <is>
          <t>Phi3:3.8b</t>
        </is>
      </c>
      <c r="D35" s="35" t="inlineStr">
        <is>
          <t>Qwen3:4b</t>
        </is>
      </c>
      <c r="E35" s="68" t="n">
        <v>643</v>
      </c>
      <c r="F35" s="67" t="n">
        <v>137.22</v>
      </c>
      <c r="G35" s="67" t="n">
        <v>84.27</v>
      </c>
      <c r="H35" s="67" t="n">
        <v>52.45</v>
      </c>
      <c r="I35" s="69" t="n">
        <v>25</v>
      </c>
      <c r="J35" s="70" t="n">
        <v>6.44646343891411e-107</v>
      </c>
      <c r="K35" s="70" t="n">
        <v>1.93393903167423e-106</v>
      </c>
      <c r="L35" s="35">
        <f>TRUE()</f>
        <v/>
      </c>
      <c r="M35" s="69" t="n">
        <v>0.989698850402347</v>
      </c>
      <c r="N35" s="40" t="inlineStr">
        <is>
          <t>large</t>
        </is>
      </c>
    </row>
    <row r="36" ht="15" customHeight="1" s="36">
      <c r="A36" s="35" t="inlineStr">
        <is>
          <t>Grade 8 Math</t>
        </is>
      </c>
      <c r="B36" s="35" t="inlineStr">
        <is>
          <t>Output Tokens</t>
        </is>
      </c>
      <c r="C36" s="35" t="inlineStr">
        <is>
          <t>Gemma3:4b</t>
        </is>
      </c>
      <c r="D36" s="35" t="inlineStr">
        <is>
          <t>Phi3:3.8b</t>
        </is>
      </c>
      <c r="E36" s="68" t="n">
        <v>643</v>
      </c>
      <c r="F36" s="67" t="n">
        <v>322</v>
      </c>
      <c r="G36" s="67" t="n">
        <v>217</v>
      </c>
      <c r="H36" s="67" t="n">
        <v>110</v>
      </c>
      <c r="I36" s="69" t="n">
        <v>69159</v>
      </c>
      <c r="J36" s="70" t="n">
        <v>4.45127905622864e-13</v>
      </c>
      <c r="K36" s="70" t="n">
        <v>4.45127905622864e-13</v>
      </c>
      <c r="L36" s="35">
        <f>TRUE()</f>
        <v/>
      </c>
      <c r="M36" s="69" t="n">
        <v>0.380692661005348</v>
      </c>
      <c r="N36" s="40" t="inlineStr">
        <is>
          <t>medium</t>
        </is>
      </c>
    </row>
    <row r="37" ht="15" customHeight="1" s="36">
      <c r="A37" s="35" t="inlineStr">
        <is>
          <t>Grade 8 Math</t>
        </is>
      </c>
      <c r="B37" s="35" t="inlineStr">
        <is>
          <t>Output Tokens</t>
        </is>
      </c>
      <c r="C37" s="35" t="inlineStr">
        <is>
          <t>Gemma3:4b</t>
        </is>
      </c>
      <c r="D37" s="35" t="inlineStr">
        <is>
          <t>Qwen3:4b</t>
        </is>
      </c>
      <c r="E37" s="68" t="n">
        <v>644</v>
      </c>
      <c r="F37" s="67" t="n">
        <v>322</v>
      </c>
      <c r="G37" s="67" t="n">
        <v>1130.5</v>
      </c>
      <c r="H37" s="67" t="n">
        <v>-796.5</v>
      </c>
      <c r="I37" s="69" t="n">
        <v>448.5</v>
      </c>
      <c r="J37" s="70" t="n">
        <v>3.17623254951282e-106</v>
      </c>
      <c r="K37" s="70" t="n">
        <v>9.528697648538469e-106</v>
      </c>
      <c r="L37" s="35">
        <f>TRUE()</f>
        <v/>
      </c>
      <c r="M37" s="69" t="n">
        <v>-0.970279888893175</v>
      </c>
      <c r="N37" s="40" t="inlineStr">
        <is>
          <t>large</t>
        </is>
      </c>
    </row>
    <row r="38" ht="15" customHeight="1" s="36">
      <c r="A38" s="35" t="inlineStr">
        <is>
          <t>Grade 8 Math</t>
        </is>
      </c>
      <c r="B38" s="35" t="inlineStr">
        <is>
          <t>Output Tokens</t>
        </is>
      </c>
      <c r="C38" s="35" t="inlineStr">
        <is>
          <t>Phi3:3.8b</t>
        </is>
      </c>
      <c r="D38" s="35" t="inlineStr">
        <is>
          <t>Qwen3:4b</t>
        </is>
      </c>
      <c r="E38" s="68" t="n">
        <v>643</v>
      </c>
      <c r="F38" s="67" t="n">
        <v>217</v>
      </c>
      <c r="G38" s="67" t="n">
        <v>1131</v>
      </c>
      <c r="H38" s="67" t="n">
        <v>-861</v>
      </c>
      <c r="I38" s="69" t="n">
        <v>7956</v>
      </c>
      <c r="J38" s="70" t="n">
        <v>1.91654902356406e-91</v>
      </c>
      <c r="K38" s="70" t="n">
        <v>3.83309804712812e-91</v>
      </c>
      <c r="L38" s="35">
        <f>TRUE()</f>
        <v/>
      </c>
      <c r="M38" s="69" t="n">
        <v>-0.893677333842868</v>
      </c>
      <c r="N38" s="40" t="inlineStr">
        <is>
          <t>large</t>
        </is>
      </c>
    </row>
    <row r="39" ht="15" customHeight="1" s="36">
      <c r="A39" s="35" t="inlineStr">
        <is>
          <t>Grade 8 Math</t>
        </is>
      </c>
      <c r="B39" s="35" t="inlineStr">
        <is>
          <t>Energy per Question (Wh)</t>
        </is>
      </c>
      <c r="C39" s="35" t="inlineStr">
        <is>
          <t>Gemma3:4b</t>
        </is>
      </c>
      <c r="D39" s="35" t="inlineStr">
        <is>
          <t>Phi3:3.8b</t>
        </is>
      </c>
      <c r="E39" s="68" t="n">
        <v>643</v>
      </c>
      <c r="F39" s="67" t="n">
        <v>0.1273</v>
      </c>
      <c r="G39" s="67" t="n">
        <v>0.07290000000000001</v>
      </c>
      <c r="H39" s="67" t="n">
        <v>0.0522</v>
      </c>
      <c r="I39" s="69" t="n">
        <v>40329.5</v>
      </c>
      <c r="J39" s="70" t="n">
        <v>8.66178227579628e-41</v>
      </c>
      <c r="K39" s="70" t="n">
        <v>8.66178227579628e-41</v>
      </c>
      <c r="L39" s="35">
        <f>TRUE()</f>
        <v/>
      </c>
      <c r="M39" s="69" t="n">
        <v>0.595391450940745</v>
      </c>
      <c r="N39" s="40" t="inlineStr">
        <is>
          <t>large</t>
        </is>
      </c>
    </row>
    <row r="40" ht="15" customHeight="1" s="36">
      <c r="A40" s="35" t="inlineStr">
        <is>
          <t>Grade 8 Math</t>
        </is>
      </c>
      <c r="B40" s="35" t="inlineStr">
        <is>
          <t>Energy per Question (Wh)</t>
        </is>
      </c>
      <c r="C40" s="35" t="inlineStr">
        <is>
          <t>Gemma3:4b</t>
        </is>
      </c>
      <c r="D40" s="35" t="inlineStr">
        <is>
          <t>Qwen3:4b</t>
        </is>
      </c>
      <c r="E40" s="68" t="n">
        <v>644</v>
      </c>
      <c r="F40" s="67" t="n">
        <v>0.12725</v>
      </c>
      <c r="G40" s="67" t="n">
        <v>0.4157</v>
      </c>
      <c r="H40" s="67" t="n">
        <v>-0.2811</v>
      </c>
      <c r="I40" s="69" t="n">
        <v>424</v>
      </c>
      <c r="J40" s="70" t="n">
        <v>2.83504294766192e-106</v>
      </c>
      <c r="K40" s="70" t="n">
        <v>8.50512884298577e-106</v>
      </c>
      <c r="L40" s="35">
        <f>TRUE()</f>
        <v/>
      </c>
      <c r="M40" s="69" t="n">
        <v>-0.975075710813626</v>
      </c>
      <c r="N40" s="40" t="inlineStr">
        <is>
          <t>large</t>
        </is>
      </c>
    </row>
    <row r="41" ht="15" customHeight="1" s="36">
      <c r="A41" s="35" t="inlineStr">
        <is>
          <t>Grade 8 Math</t>
        </is>
      </c>
      <c r="B41" s="35" t="inlineStr">
        <is>
          <t>Energy per Question (Wh)</t>
        </is>
      </c>
      <c r="C41" s="35" t="inlineStr">
        <is>
          <t>Phi3:3.8b</t>
        </is>
      </c>
      <c r="D41" s="35" t="inlineStr">
        <is>
          <t>Qwen3:4b</t>
        </is>
      </c>
      <c r="E41" s="68" t="n">
        <v>643</v>
      </c>
      <c r="F41" s="67" t="n">
        <v>0.07290000000000001</v>
      </c>
      <c r="G41" s="67" t="n">
        <v>0.416</v>
      </c>
      <c r="H41" s="67" t="n">
        <v>-0.3263</v>
      </c>
      <c r="I41" s="69" t="n">
        <v>3579</v>
      </c>
      <c r="J41" s="70" t="n">
        <v>7.8506001197624e-100</v>
      </c>
      <c r="K41" s="70" t="n">
        <v>1.57012002395248e-99</v>
      </c>
      <c r="L41" s="35">
        <f>TRUE()</f>
        <v/>
      </c>
      <c r="M41" s="69" t="n">
        <v>-0.932572094744455</v>
      </c>
      <c r="N41" s="40" t="inlineStr">
        <is>
          <t>large</t>
        </is>
      </c>
    </row>
  </sheetData>
  <mergeCells count="3">
    <mergeCell ref="A3:N3"/>
    <mergeCell ref="A2:N2"/>
    <mergeCell ref="A1:N1"/>
  </mergeCells>
  <conditionalFormatting sqref="J6:J41">
    <cfRule type="cellIs" rank="0" priority="2" equalAverage="0" operator="lessThan" aboveAverage="0" dxfId="0" text="" percent="0" bottom="0">
      <formula>0.05</formula>
    </cfRule>
    <cfRule type="cellIs" rank="0" priority="3" equalAverage="0" operator="greaterThanOrEqual" aboveAverage="0" dxfId="1" text="" percent="0" bottom="0">
      <formula>0.05</formula>
    </cfRule>
  </conditionalFormatting>
  <conditionalFormatting sqref="K6:K41">
    <cfRule type="cellIs" rank="0" priority="4" equalAverage="0" operator="lessThan" aboveAverage="0" dxfId="0" text="" percent="0" bottom="0">
      <formula>0.05</formula>
    </cfRule>
    <cfRule type="cellIs" rank="0" priority="5" equalAverage="0" operator="greaterThanOrEqual" aboveAverage="0" dxfId="1" text="" percent="0" bottom="0">
      <formula>0.05</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5" min="1" max="1"/>
    <col width="30" customWidth="1" style="35" min="2" max="2"/>
    <col width="10" customWidth="1" style="35" min="3" max="3"/>
    <col width="21" customWidth="1" style="35" min="4" max="4"/>
    <col width="22" customWidth="1" style="35" min="5" max="5"/>
    <col width="21" customWidth="1" style="35" min="6" max="7"/>
    <col width="20" customWidth="1" style="35" min="8" max="8"/>
    <col width="22" customWidth="1" style="35" min="9" max="9"/>
  </cols>
  <sheetData>
    <row r="1" ht="21.75" customHeight="1" s="36">
      <c r="A1" s="62" t="inlineStr">
        <is>
          <t>Run Variance</t>
        </is>
      </c>
    </row>
    <row r="2" ht="30" customHeight="1" s="36">
      <c r="A2" s="63" t="inlineStr">
        <is>
          <t>How much the accuracy wobbles if you re-run the same model on the same dataset.</t>
        </is>
      </c>
    </row>
    <row r="3" ht="48" customHeight="1" s="36">
      <c r="A3" s="64" t="inlineStr">
        <is>
          <t>How to read: Small 'Accuracy SD' across runs = results are stable and trustworthy. Large SD = re-running could flip the story; treat the headline numbers with caution.</t>
        </is>
      </c>
    </row>
    <row r="5" ht="15" customHeight="1" s="36">
      <c r="A5" s="65" t="inlineStr">
        <is>
          <t>Model</t>
        </is>
      </c>
      <c r="B5" s="65" t="inlineStr">
        <is>
          <t>Dataset</t>
        </is>
      </c>
      <c r="C5" s="65" t="inlineStr">
        <is>
          <t>Runs</t>
        </is>
      </c>
      <c r="D5" s="65" t="inlineStr">
        <is>
          <t>Accuracy (mean)</t>
        </is>
      </c>
      <c r="E5" s="65" t="inlineStr">
        <is>
          <t>Accuracy SD</t>
        </is>
      </c>
      <c r="F5" s="65" t="inlineStr">
        <is>
          <t>Accuracy Min</t>
        </is>
      </c>
      <c r="G5" s="65" t="inlineStr">
        <is>
          <t>Accuracy Max</t>
        </is>
      </c>
      <c r="H5" s="65" t="inlineStr">
        <is>
          <t>Mean Time SD (s)</t>
        </is>
      </c>
      <c r="I5" s="65" t="inlineStr">
        <is>
          <t>Mean Energy SD (Wh)</t>
        </is>
      </c>
    </row>
    <row r="6" ht="15" customHeight="1" s="36">
      <c r="A6" s="35" t="inlineStr">
        <is>
          <t>Gemma3:4b</t>
        </is>
      </c>
      <c r="B6" s="35" t="inlineStr">
        <is>
          <t>Adv Probability &amp; Statistics</t>
        </is>
      </c>
      <c r="C6" s="68" t="n">
        <v>2</v>
      </c>
      <c r="D6" s="66" t="n">
        <v>0.94291628959276</v>
      </c>
      <c r="E6" s="69" t="n">
        <v>0.00553846985626211</v>
      </c>
      <c r="F6" s="66" t="n">
        <v>0.9389999999999999</v>
      </c>
      <c r="G6" s="66" t="n">
        <v>0.94683257918552</v>
      </c>
      <c r="H6" s="67" t="n">
        <v>0.668523253271061</v>
      </c>
      <c r="I6" s="67" t="n">
        <v>0.0140374198285514</v>
      </c>
    </row>
    <row r="7" ht="15" customHeight="1" s="36">
      <c r="A7" s="35" t="inlineStr">
        <is>
          <t>Phi3:3.8b</t>
        </is>
      </c>
      <c r="B7" s="35" t="inlineStr">
        <is>
          <t>Adv Probability &amp; Statistics</t>
        </is>
      </c>
      <c r="C7" s="68" t="n">
        <v>2</v>
      </c>
      <c r="D7" s="66" t="n">
        <v>0.0765</v>
      </c>
      <c r="E7" s="69" t="n">
        <v>0.021920310216783</v>
      </c>
      <c r="F7" s="66" t="n">
        <v>0.061</v>
      </c>
      <c r="G7" s="66" t="n">
        <v>0.092</v>
      </c>
      <c r="H7" s="67" t="n">
        <v>1.33128221401343</v>
      </c>
      <c r="I7" s="67" t="n">
        <v>0.0387867868470695</v>
      </c>
    </row>
    <row r="8" ht="15" customHeight="1" s="36">
      <c r="A8" s="35" t="inlineStr">
        <is>
          <t>Qwen3:4b</t>
        </is>
      </c>
      <c r="B8" s="35" t="inlineStr">
        <is>
          <t>Adv Probability &amp; Statistics</t>
        </is>
      </c>
      <c r="C8" s="68" t="n">
        <v>3</v>
      </c>
      <c r="D8" s="66" t="n">
        <v>0.973666666666667</v>
      </c>
      <c r="E8" s="69" t="n">
        <v>0.00115470053837924</v>
      </c>
      <c r="F8" s="66" t="n">
        <v>0.973</v>
      </c>
      <c r="G8" s="66" t="n">
        <v>0.975</v>
      </c>
      <c r="H8" s="67" t="n">
        <v>3.36852542068758</v>
      </c>
      <c r="I8" s="67" t="n">
        <v>0.0576398766891753</v>
      </c>
    </row>
    <row r="9" ht="15" customHeight="1" s="36">
      <c r="A9" s="35" t="inlineStr">
        <is>
          <t>Gemma3:4b</t>
        </is>
      </c>
      <c r="B9" s="35" t="inlineStr">
        <is>
          <t>Calculus I</t>
        </is>
      </c>
      <c r="C9" s="68" t="n">
        <v>3</v>
      </c>
      <c r="D9" s="66" t="n">
        <v>0.858989898989899</v>
      </c>
      <c r="E9" s="69" t="n">
        <v>0.0041745410747014</v>
      </c>
      <c r="F9" s="66" t="n">
        <v>0.855555555555556</v>
      </c>
      <c r="G9" s="66" t="n">
        <v>0.863636363636364</v>
      </c>
      <c r="H9" s="67" t="n">
        <v>1.53580374350168</v>
      </c>
      <c r="I9" s="67" t="n">
        <v>0.0059498214199957</v>
      </c>
    </row>
    <row r="10" ht="15" customHeight="1" s="36">
      <c r="A10" s="35" t="inlineStr">
        <is>
          <t>Phi3:3.8b</t>
        </is>
      </c>
      <c r="B10" s="35" t="inlineStr">
        <is>
          <t>Calculus I</t>
        </is>
      </c>
      <c r="C10" s="68" t="n">
        <v>2</v>
      </c>
      <c r="D10" s="66" t="n">
        <v>0.121111111111111</v>
      </c>
      <c r="E10" s="69" t="n">
        <v>0.00157134840263677</v>
      </c>
      <c r="F10" s="66" t="n">
        <v>0.12</v>
      </c>
      <c r="G10" s="66" t="n">
        <v>0.122222222222222</v>
      </c>
      <c r="H10" s="67" t="n">
        <v>6.11731816884012</v>
      </c>
      <c r="I10" s="67" t="n">
        <v>0.165723202093129</v>
      </c>
    </row>
    <row r="11" ht="15" customHeight="1" s="36">
      <c r="A11" s="35" t="inlineStr">
        <is>
          <t>Qwen3:4b</t>
        </is>
      </c>
      <c r="B11" s="35" t="inlineStr">
        <is>
          <t>Calculus I</t>
        </is>
      </c>
      <c r="C11" s="68" t="n">
        <v>4</v>
      </c>
      <c r="D11" s="66" t="n">
        <v>0.795741731431208</v>
      </c>
      <c r="E11" s="69" t="n">
        <v>0.0149357291510497</v>
      </c>
      <c r="F11" s="66" t="n">
        <v>0.774193548387097</v>
      </c>
      <c r="G11" s="66" t="n">
        <v>0.807777777777778</v>
      </c>
      <c r="H11" s="67" t="n">
        <v>845.191617659912</v>
      </c>
      <c r="I11" s="67" t="n">
        <v>7.62060786116569</v>
      </c>
    </row>
    <row r="12" ht="15" customHeight="1" s="36">
      <c r="A12" s="35" t="inlineStr">
        <is>
          <t>Gemma3:4b</t>
        </is>
      </c>
      <c r="B12" s="35" t="inlineStr">
        <is>
          <t>Grade 8 Math</t>
        </is>
      </c>
      <c r="C12" s="68" t="n">
        <v>2</v>
      </c>
      <c r="D12" s="66" t="n">
        <v>0.668478260869565</v>
      </c>
      <c r="E12" s="69" t="n">
        <v>0.009881927066271629</v>
      </c>
      <c r="F12" s="66" t="n">
        <v>0.661490683229814</v>
      </c>
      <c r="G12" s="66" t="n">
        <v>0.675465838509317</v>
      </c>
      <c r="H12" s="67" t="n">
        <v>0.869455018867148</v>
      </c>
      <c r="I12" s="67" t="n">
        <v>0.0124698939657385</v>
      </c>
    </row>
    <row r="13" ht="15" customHeight="1" s="36">
      <c r="A13" s="35" t="inlineStr">
        <is>
          <t>Phi3:3.8b</t>
        </is>
      </c>
      <c r="B13" s="35" t="inlineStr">
        <is>
          <t>Grade 8 Math</t>
        </is>
      </c>
      <c r="C13" s="68" t="n">
        <v>2</v>
      </c>
      <c r="D13" s="66" t="n">
        <v>0.0263975155279503</v>
      </c>
      <c r="E13" s="69" t="n">
        <v>0.00219598379250481</v>
      </c>
      <c r="F13" s="66" t="n">
        <v>0.0248447204968944</v>
      </c>
      <c r="G13" s="66" t="n">
        <v>0.0279503105590062</v>
      </c>
      <c r="H13" s="67" t="n">
        <v>1.42862158662105</v>
      </c>
      <c r="I13" s="67" t="n">
        <v>0.041277577950144</v>
      </c>
    </row>
    <row r="14" ht="15" customHeight="1" s="36">
      <c r="A14" s="35" t="inlineStr">
        <is>
          <t>Qwen3:4b</t>
        </is>
      </c>
      <c r="B14" s="35" t="inlineStr">
        <is>
          <t>Grade 8 Math</t>
        </is>
      </c>
      <c r="C14" s="68" t="n">
        <v>3</v>
      </c>
      <c r="D14" s="66" t="n">
        <v>0.761407111570265</v>
      </c>
      <c r="E14" s="69" t="n">
        <v>0.034068106872898</v>
      </c>
      <c r="F14" s="66" t="n">
        <v>0.72210953346856</v>
      </c>
      <c r="G14" s="66" t="n">
        <v>0.7826086956521739</v>
      </c>
      <c r="H14" s="67" t="n">
        <v>0.533282220994714</v>
      </c>
      <c r="I14" s="67" t="n">
        <v>0.0260951479414315</v>
      </c>
    </row>
  </sheetData>
  <mergeCells count="3">
    <mergeCell ref="A1:I1"/>
    <mergeCell ref="A2:I2"/>
    <mergeCell ref="A3:I3"/>
  </mergeCells>
  <conditionalFormatting sqref="D6:D14">
    <cfRule type="colorScale" priority="2">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2.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35" min="1" max="1"/>
    <col width="110" customWidth="1" style="35" min="2" max="2"/>
  </cols>
  <sheetData>
    <row r="1" ht="19.7" customHeight="1" s="36">
      <c r="A1" s="62" t="inlineStr">
        <is>
          <t>Glossary</t>
        </is>
      </c>
    </row>
    <row r="2" ht="24" customHeight="1" s="36">
      <c r="A2" s="63" t="inlineStr">
        <is>
          <t>Plain-English definitions for every statistical term used in this workbook.</t>
        </is>
      </c>
    </row>
    <row r="3" ht="30" customHeight="1" s="36">
      <c r="A3" s="64" t="inlineStr">
        <is>
          <t>How to read: use Ctrl+F to search. Terms are listed in roughly the order they appear in other sheets.</t>
        </is>
      </c>
    </row>
    <row r="5" ht="15" customHeight="1" s="36">
      <c r="A5" s="41" t="inlineStr">
        <is>
          <t>Term</t>
        </is>
      </c>
      <c r="B5" s="41" t="inlineStr">
        <is>
          <t>Explanation</t>
        </is>
      </c>
    </row>
    <row r="6" ht="15" customHeight="1" s="36">
      <c r="A6" s="40" t="inlineStr">
        <is>
          <t>Accuracy</t>
        </is>
      </c>
      <c r="B6" s="40" t="inlineStr">
        <is>
          <t>Fraction of questions the model got right. 94.7% means 94.7 out of every 100 answers were correct.</t>
        </is>
      </c>
    </row>
    <row r="7" ht="15" customHeight="1" s="36">
      <c r="A7" s="40" t="inlineStr">
        <is>
          <t>N</t>
        </is>
      </c>
      <c r="B7" s="40" t="inlineStr">
        <is>
          <t>Number of questions. Larger N makes the result more trustworthy.</t>
        </is>
      </c>
    </row>
    <row r="8" ht="28.35" customHeight="1" s="36">
      <c r="A8" s="40" t="inlineStr">
        <is>
          <t>95% Confidence Interval (CI)</t>
        </is>
      </c>
      <c r="B8" s="40" t="inlineStr">
        <is>
          <t>The range the true accuracy is very likely to fall in. If the CI is 62% – 70%, the true score is almost certainly somewhere in that window. Narrower = more certain.</t>
        </is>
      </c>
    </row>
    <row r="9" ht="15" customHeight="1" s="36">
      <c r="A9" s="40" t="inlineStr">
        <is>
          <t>Wilson CI</t>
        </is>
      </c>
      <c r="B9" s="40" t="inlineStr">
        <is>
          <t>The specific formula used for the accuracy CI. It is well-behaved for small samples and for scores close to 0% or 100%.</t>
        </is>
      </c>
    </row>
    <row r="10" ht="28.35" customHeight="1" s="36">
      <c r="A10" s="40" t="inlineStr">
        <is>
          <t>p-value</t>
        </is>
      </c>
      <c r="B10" s="40" t="inlineStr">
        <is>
          <t>How surprising the observed difference would be if the two models were actually equal. Small p = unlikely to be a fluke. We treat p &lt; 0.05 as 'statistically significant' (green-shaded cells).</t>
        </is>
      </c>
    </row>
    <row r="11" ht="28.35" customHeight="1" s="36">
      <c r="A11" s="40" t="inlineStr">
        <is>
          <t>Holm-adjusted p-value</t>
        </is>
      </c>
      <c r="B11" s="40" t="inlineStr">
        <is>
          <t>Same idea as a p-value, but inflated to account for running several tests at once (3 pairs of models × multiple metrics). Always use this one — not the raw p — to call something significant.</t>
        </is>
      </c>
    </row>
    <row r="12" ht="28.35" customHeight="1" s="36">
      <c r="A12" s="40" t="inlineStr">
        <is>
          <t>Significant (Holm)?</t>
        </is>
      </c>
      <c r="B12" s="40" t="inlineStr">
        <is>
          <t>TRUE (green) means the gap between the two models is real at the 95% confidence level after accounting for multiple tests. FALSE (gray) means the gap is within noise.</t>
        </is>
      </c>
    </row>
    <row r="13" ht="28.35" customHeight="1" s="36">
      <c r="A13" s="40" t="inlineStr">
        <is>
          <t>McNemar's test</t>
        </is>
      </c>
      <c r="B13" s="40" t="inlineStr">
        <is>
          <t>The formal test for 'do two models get different numbers of questions right on the same quiz?' It focuses on questions where the models disagreed.</t>
        </is>
      </c>
    </row>
    <row r="14" ht="15" customHeight="1" s="36">
      <c r="A14" s="40" t="inlineStr">
        <is>
          <t>Cohen's h</t>
        </is>
      </c>
      <c r="B14" s="40" t="inlineStr">
        <is>
          <t>How big an accuracy gap is, on a standardized scale. Rule of thumb: 0.2 = small, 0.5 = medium, 0.8 = large.</t>
        </is>
      </c>
    </row>
    <row r="15" ht="28.35" customHeight="1" s="36">
      <c r="A15" s="40" t="inlineStr">
        <is>
          <t>Wilcoxon signed-rank test</t>
        </is>
      </c>
      <c r="B15" s="40" t="inlineStr">
        <is>
          <t>The formal test for 'does one model typically use more time / tokens / energy than the other on the same questions?' Makes no assumption that the data is bell-shaped.</t>
        </is>
      </c>
    </row>
    <row r="16" ht="28.35" customHeight="1" s="36">
      <c r="A16" s="40" t="inlineStr">
        <is>
          <t>Cliff's δ (delta)</t>
        </is>
      </c>
      <c r="B16" s="40" t="inlineStr">
        <is>
          <t>How big the time/energy/token gap is, on a −1 to +1 scale. |δ| &lt; 0.15 ≈ negligible, &lt; 0.33 ≈ small, &lt; 0.47 ≈ medium, bigger ≈ large.</t>
        </is>
      </c>
    </row>
    <row r="17" ht="15" customHeight="1" s="36">
      <c r="A17" s="40" t="inlineStr">
        <is>
          <t>Extraction failure</t>
        </is>
      </c>
      <c r="B17" s="40" t="inlineStr">
        <is>
          <t>The model answered, but the answer-parser couldn't find a number in the output. Often a format issue, not a math issue.</t>
        </is>
      </c>
    </row>
    <row r="18" ht="15" customHeight="1" s="36">
      <c r="A18" s="40" t="inlineStr">
        <is>
          <t>Wrong answer</t>
        </is>
      </c>
      <c r="B18" s="40" t="inlineStr">
        <is>
          <t>A number was parsed cleanly but it was the wrong one. This is a real math miss.</t>
        </is>
      </c>
    </row>
    <row r="19" ht="15" customHeight="1" s="36">
      <c r="A19" s="40" t="inlineStr">
        <is>
          <t>Hard failure</t>
        </is>
      </c>
      <c r="B19" s="40" t="inlineStr">
        <is>
          <t>The model call itself crashed, timed out, or returned nothing.</t>
        </is>
      </c>
    </row>
    <row r="20" ht="15" customHeight="1" s="36">
      <c r="A20" s="40" t="inlineStr">
        <is>
          <t>Correct per Wh</t>
        </is>
      </c>
      <c r="B20" s="40" t="inlineStr">
        <is>
          <t>Accuracy-per-energy: number of correct answers divided by total watt-hours used. Higher = more efficient.</t>
        </is>
      </c>
    </row>
    <row r="21" ht="15" customHeight="1" s="36">
      <c r="A21" s="40" t="inlineStr">
        <is>
          <t>Correct per 1k Tokens</t>
        </is>
      </c>
      <c r="B21" s="40" t="inlineStr">
        <is>
          <t>Accuracy-per-output: correct answers per 1,000 tokens the model generated. Higher = the model wastes fewer words.</t>
        </is>
      </c>
    </row>
    <row r="22" ht="28.35" customHeight="1" s="36">
      <c r="A22" s="40" t="inlineStr">
        <is>
          <t>Latest run</t>
        </is>
      </c>
      <c r="B22" s="40" t="inlineStr">
        <is>
          <t>When the same (model, dataset) has been benchmarked more than once, the headline sheets use only the most recent run so that each pair of models is compared on identical data.</t>
        </is>
      </c>
    </row>
  </sheetData>
  <mergeCells count="3">
    <mergeCell ref="A3:B3"/>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2026-04-17T18:02:14Z</dcterms:created>
  <dcterms:modified xmlns:dcterms="http://purl.org/dc/terms/" xmlns:xsi="http://www.w3.org/2001/XMLSchema-instance" xsi:type="dcterms:W3CDTF">2026-04-17T19:25:23Z</dcterms:modified>
  <cp:revision>1</cp:revision>
</cp:coreProperties>
</file>